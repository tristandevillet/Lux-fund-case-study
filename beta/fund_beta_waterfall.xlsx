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l\fund accounting roadmap\lux-fund-case-study\beta\"/>
    </mc:Choice>
  </mc:AlternateContent>
  <xr:revisionPtr revIDLastSave="0" documentId="8_{5F3DECDB-DA67-43BB-ACBC-E3785EF3DA4B}" xr6:coauthVersionLast="47" xr6:coauthVersionMax="47" xr10:uidLastSave="{00000000-0000-0000-0000-000000000000}"/>
  <bookViews>
    <workbookView xWindow="-108" yWindow="-108" windowWidth="23256" windowHeight="12456" activeTab="2" xr2:uid="{183BB934-16D1-4881-812E-63FEED958496}"/>
  </bookViews>
  <sheets>
    <sheet name="Fund Identity" sheetId="1" r:id="rId1"/>
    <sheet name="LP Commitments" sheetId="2" r:id="rId2"/>
    <sheet name="Deal-MedTech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3" l="1"/>
  <c r="B17" i="3"/>
  <c r="B14" i="3"/>
  <c r="B13" i="3"/>
  <c r="B8" i="3"/>
  <c r="B9" i="3" s="1"/>
  <c r="B5" i="3"/>
  <c r="B5" i="2"/>
</calcChain>
</file>

<file path=xl/sharedStrings.xml><?xml version="1.0" encoding="utf-8"?>
<sst xmlns="http://schemas.openxmlformats.org/spreadsheetml/2006/main" count="32" uniqueCount="29">
  <si>
    <t>Legal Structure</t>
  </si>
  <si>
    <t>Strategy</t>
  </si>
  <si>
    <t>Base Currency</t>
  </si>
  <si>
    <t>Structure</t>
  </si>
  <si>
    <t>Total Commitment</t>
  </si>
  <si>
    <t>Hurdle Rate</t>
  </si>
  <si>
    <t>Carried Interest</t>
  </si>
  <si>
    <t>RAIF</t>
  </si>
  <si>
    <t>Private Equity</t>
  </si>
  <si>
    <t>EUR</t>
  </si>
  <si>
    <t>Closed-ended</t>
  </si>
  <si>
    <t>LP</t>
  </si>
  <si>
    <t>Commitment</t>
  </si>
  <si>
    <t>LP1</t>
  </si>
  <si>
    <t>LP2</t>
  </si>
  <si>
    <t>LP3</t>
  </si>
  <si>
    <t>Target Company</t>
  </si>
  <si>
    <t>MedTech Solutions SA</t>
  </si>
  <si>
    <t>Amount Invested</t>
  </si>
  <si>
    <t>Holding Period (years)</t>
  </si>
  <si>
    <t>Exit Value</t>
  </si>
  <si>
    <t>Total Proceeds to Distribute</t>
  </si>
  <si>
    <t>Stage 1 — Return of Capital</t>
  </si>
  <si>
    <t>LP receives</t>
  </si>
  <si>
    <t>Remaining to distribute</t>
  </si>
  <si>
    <t>Stage 2 — Preferred Return</t>
  </si>
  <si>
    <t>Preferred Return Amount</t>
  </si>
  <si>
    <t>Stage 3 — Catch-Up</t>
  </si>
  <si>
    <t>Catch-Up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</si>
</sst>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3" fontId="0" fillId="0" borderId="0" xfId="1" applyFont="1"/>
    <xf numFmtId="0" fontId="0" fillId="0" borderId="1" xfId="0" applyBorder="1"/>
    <xf numFmtId="43" fontId="0" fillId="0" borderId="1" xfId="1" applyFont="1" applyBorder="1"/>
    <xf numFmtId="9" fontId="0" fillId="0" borderId="1" xfId="0" applyNumberFormat="1" applyBorder="1"/>
    <xf numFmtId="0" fontId="2" fillId="2" borderId="1" xfId="0" applyFont="1" applyFill="1" applyBorder="1"/>
    <xf numFmtId="43" fontId="0" fillId="0" borderId="0" xfId="0" applyNumberFormat="1"/>
    <xf numFmtId="0" fontId="0" fillId="0" borderId="1" xfId="0" applyBorder="1" applyAlignment="1">
      <alignment vertical="center"/>
    </xf>
    <xf numFmtId="43" fontId="0" fillId="0" borderId="1" xfId="1" applyFont="1" applyBorder="1" applyAlignment="1">
      <alignment vertical="center"/>
    </xf>
    <xf numFmtId="43" fontId="0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43" fontId="0" fillId="0" borderId="1" xfId="0" applyNumberFormat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ADE5-599C-4EB7-923C-1031124487F9}">
  <dimension ref="A1:E7"/>
  <sheetViews>
    <sheetView workbookViewId="0">
      <selection activeCell="B7" sqref="B7"/>
    </sheetView>
  </sheetViews>
  <sheetFormatPr baseColWidth="10" defaultRowHeight="14.4" x14ac:dyDescent="0.3"/>
  <cols>
    <col min="1" max="1" width="16.6640625" bestFit="1" customWidth="1"/>
    <col min="2" max="2" width="14" bestFit="1" customWidth="1"/>
    <col min="5" max="5" width="14" bestFit="1" customWidth="1"/>
  </cols>
  <sheetData>
    <row r="1" spans="1:5" x14ac:dyDescent="0.3">
      <c r="A1" s="5" t="s">
        <v>0</v>
      </c>
      <c r="B1" s="2" t="s">
        <v>7</v>
      </c>
    </row>
    <row r="2" spans="1:5" x14ac:dyDescent="0.3">
      <c r="A2" s="5" t="s">
        <v>1</v>
      </c>
      <c r="B2" s="2" t="s">
        <v>8</v>
      </c>
    </row>
    <row r="3" spans="1:5" x14ac:dyDescent="0.3">
      <c r="A3" s="5" t="s">
        <v>2</v>
      </c>
      <c r="B3" s="2" t="s">
        <v>9</v>
      </c>
    </row>
    <row r="4" spans="1:5" x14ac:dyDescent="0.3">
      <c r="A4" s="5" t="s">
        <v>3</v>
      </c>
      <c r="B4" s="2" t="s">
        <v>10</v>
      </c>
    </row>
    <row r="5" spans="1:5" x14ac:dyDescent="0.3">
      <c r="A5" s="5" t="s">
        <v>4</v>
      </c>
      <c r="B5" s="3">
        <v>50000000</v>
      </c>
      <c r="E5" s="1">
        <v>50000000</v>
      </c>
    </row>
    <row r="6" spans="1:5" x14ac:dyDescent="0.3">
      <c r="A6" s="5" t="s">
        <v>5</v>
      </c>
      <c r="B6" s="4">
        <v>0.08</v>
      </c>
    </row>
    <row r="7" spans="1:5" x14ac:dyDescent="0.3">
      <c r="A7" s="5" t="s">
        <v>6</v>
      </c>
      <c r="B7" s="4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DD1A-0D98-4EBF-9608-ABD930D38637}">
  <dimension ref="A1:B5"/>
  <sheetViews>
    <sheetView workbookViewId="0"/>
  </sheetViews>
  <sheetFormatPr baseColWidth="10" defaultRowHeight="14.4" x14ac:dyDescent="0.3"/>
  <cols>
    <col min="2" max="2" width="14" bestFit="1" customWidth="1"/>
  </cols>
  <sheetData>
    <row r="1" spans="1:2" x14ac:dyDescent="0.3">
      <c r="A1" s="2" t="s">
        <v>11</v>
      </c>
      <c r="B1" s="2" t="s">
        <v>12</v>
      </c>
    </row>
    <row r="2" spans="1:2" x14ac:dyDescent="0.3">
      <c r="A2" s="2" t="s">
        <v>13</v>
      </c>
      <c r="B2" s="3">
        <v>20000000</v>
      </c>
    </row>
    <row r="3" spans="1:2" x14ac:dyDescent="0.3">
      <c r="A3" s="2" t="s">
        <v>14</v>
      </c>
      <c r="B3" s="3">
        <v>15000000</v>
      </c>
    </row>
    <row r="4" spans="1:2" x14ac:dyDescent="0.3">
      <c r="A4" s="2" t="s">
        <v>15</v>
      </c>
      <c r="B4" s="3">
        <v>15000000</v>
      </c>
    </row>
    <row r="5" spans="1:2" x14ac:dyDescent="0.3">
      <c r="B5" s="6">
        <f>+SUM(B2:B4)</f>
        <v>50000000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0810-BA3A-4340-AAA9-371451B485B2}">
  <dimension ref="A1:B18"/>
  <sheetViews>
    <sheetView tabSelected="1" workbookViewId="0">
      <selection activeCell="A20" sqref="A20"/>
    </sheetView>
  </sheetViews>
  <sheetFormatPr baseColWidth="10" defaultRowHeight="14.4" x14ac:dyDescent="0.3"/>
  <cols>
    <col min="1" max="1" width="24.109375" bestFit="1" customWidth="1"/>
    <col min="2" max="2" width="18.5546875" bestFit="1" customWidth="1"/>
  </cols>
  <sheetData>
    <row r="1" spans="1:2" x14ac:dyDescent="0.3">
      <c r="A1" s="10" t="s">
        <v>16</v>
      </c>
      <c r="B1" s="7" t="s">
        <v>17</v>
      </c>
    </row>
    <row r="2" spans="1:2" x14ac:dyDescent="0.3">
      <c r="A2" s="10" t="s">
        <v>18</v>
      </c>
      <c r="B2" s="8">
        <v>8000000</v>
      </c>
    </row>
    <row r="3" spans="1:2" x14ac:dyDescent="0.3">
      <c r="A3" s="10" t="s">
        <v>19</v>
      </c>
      <c r="B3" s="7">
        <v>4</v>
      </c>
    </row>
    <row r="4" spans="1:2" x14ac:dyDescent="0.3">
      <c r="A4" s="10" t="s">
        <v>20</v>
      </c>
      <c r="B4" s="9">
        <v>16500000</v>
      </c>
    </row>
    <row r="5" spans="1:2" x14ac:dyDescent="0.3">
      <c r="A5" s="10" t="s">
        <v>21</v>
      </c>
      <c r="B5" s="8">
        <f>+B4</f>
        <v>16500000</v>
      </c>
    </row>
    <row r="7" spans="1:2" x14ac:dyDescent="0.3">
      <c r="A7" s="11" t="s">
        <v>22</v>
      </c>
    </row>
    <row r="8" spans="1:2" x14ac:dyDescent="0.3">
      <c r="A8" s="10" t="s">
        <v>23</v>
      </c>
      <c r="B8" s="3">
        <f>+B2</f>
        <v>8000000</v>
      </c>
    </row>
    <row r="9" spans="1:2" x14ac:dyDescent="0.3">
      <c r="A9" s="10" t="s">
        <v>24</v>
      </c>
      <c r="B9" s="3">
        <f>+B5-B8</f>
        <v>8500000</v>
      </c>
    </row>
    <row r="11" spans="1:2" x14ac:dyDescent="0.3">
      <c r="A11" s="11" t="s">
        <v>25</v>
      </c>
    </row>
    <row r="12" spans="1:2" x14ac:dyDescent="0.3">
      <c r="A12" s="10" t="s">
        <v>5</v>
      </c>
      <c r="B12" s="4">
        <v>0.08</v>
      </c>
    </row>
    <row r="13" spans="1:2" x14ac:dyDescent="0.3">
      <c r="A13" s="10" t="s">
        <v>26</v>
      </c>
      <c r="B13" s="2">
        <f>+B2*((1+B12)^B3-1)</f>
        <v>2883911.6800000025</v>
      </c>
    </row>
    <row r="14" spans="1:2" x14ac:dyDescent="0.3">
      <c r="A14" s="10" t="s">
        <v>24</v>
      </c>
      <c r="B14" s="12">
        <f>+B9-B13</f>
        <v>5616088.3199999975</v>
      </c>
    </row>
    <row r="16" spans="1:2" x14ac:dyDescent="0.3">
      <c r="A16" s="11" t="s">
        <v>27</v>
      </c>
    </row>
    <row r="17" spans="1:2" x14ac:dyDescent="0.3">
      <c r="A17" s="10" t="s">
        <v>28</v>
      </c>
      <c r="B17" s="2">
        <f>+B13*'Fund Identity'!B7</f>
        <v>576782.33600000048</v>
      </c>
    </row>
    <row r="18" spans="1:2" x14ac:dyDescent="0.3">
      <c r="A18" s="10" t="s">
        <v>24</v>
      </c>
      <c r="B18" s="12">
        <f>+B14-B17</f>
        <v>5039305.9839999974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Fund Identity</vt:lpstr>
      <vt:lpstr>LP Commitments</vt:lpstr>
      <vt:lpstr>Deal-MedTech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D. DEVILLET</dc:creator>
  <cp:lastModifiedBy>Tristan D. DEVILLET</cp:lastModifiedBy>
  <dcterms:created xsi:type="dcterms:W3CDTF">2026-09-24T20:14:15Z</dcterms:created>
  <dcterms:modified xsi:type="dcterms:W3CDTF">2026-09-28T19:39:01Z</dcterms:modified>
</cp:coreProperties>
</file>