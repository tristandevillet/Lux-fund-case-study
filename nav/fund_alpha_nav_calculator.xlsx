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l\fund accounting roadmap\lux-fund-case-study\nav\"/>
    </mc:Choice>
  </mc:AlternateContent>
  <xr:revisionPtr revIDLastSave="0" documentId="13_ncr:1_{598A0E52-0998-4FAE-82BC-87CF9172C8F4}" xr6:coauthVersionLast="47" xr6:coauthVersionMax="47" xr10:uidLastSave="{00000000-0000-0000-0000-000000000000}"/>
  <bookViews>
    <workbookView xWindow="-108" yWindow="-108" windowWidth="23256" windowHeight="12456" firstSheet="3" activeTab="6" xr2:uid="{719DAA5C-B416-4958-BA3B-EFD9ABF611FA}"/>
  </bookViews>
  <sheets>
    <sheet name="Assets" sheetId="1" r:id="rId1"/>
    <sheet name="Liabilities" sheetId="2" r:id="rId2"/>
    <sheet name="NAV Calculation" sheetId="3" r:id="rId3"/>
    <sheet name="Fund-of-Funds" sheetId="4" r:id="rId4"/>
    <sheet name="Transaction Journal" sheetId="5" r:id="rId5"/>
    <sheet name="Trial Balance" sheetId="6" r:id="rId6"/>
    <sheet name="Bank Statement" sheetId="7" r:id="rId7"/>
    <sheet name="TJ_Expor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7" l="1"/>
  <c r="D3" i="7"/>
  <c r="D2" i="7"/>
  <c r="B4" i="3"/>
  <c r="D3" i="6"/>
  <c r="D4" i="6"/>
  <c r="D5" i="6"/>
  <c r="D6" i="6"/>
  <c r="D7" i="6"/>
  <c r="D8" i="6"/>
  <c r="D9" i="6"/>
  <c r="D2" i="6"/>
  <c r="C3" i="6"/>
  <c r="C4" i="6"/>
  <c r="C5" i="6"/>
  <c r="C6" i="6"/>
  <c r="C7" i="6"/>
  <c r="C8" i="6"/>
  <c r="C9" i="6"/>
  <c r="C2" i="6"/>
  <c r="B3" i="6"/>
  <c r="B4" i="6"/>
  <c r="B5" i="6"/>
  <c r="B6" i="6"/>
  <c r="B7" i="6"/>
  <c r="B8" i="6"/>
  <c r="B9" i="6"/>
  <c r="B2" i="6"/>
  <c r="C5" i="2"/>
  <c r="E9" i="1"/>
  <c r="C6" i="2" s="1"/>
  <c r="E8" i="1"/>
  <c r="F5" i="4"/>
  <c r="E5" i="4"/>
  <c r="F3" i="4"/>
  <c r="F4" i="4"/>
  <c r="F2" i="4"/>
  <c r="E3" i="4"/>
  <c r="E4" i="4"/>
  <c r="E2" i="4"/>
  <c r="E3" i="1"/>
  <c r="E4" i="1"/>
  <c r="E2" i="1"/>
  <c r="B1" i="3" l="1"/>
  <c r="B2" i="3"/>
  <c r="B3" i="3" l="1"/>
  <c r="B5" i="3" s="1"/>
</calcChain>
</file>

<file path=xl/sharedStrings.xml><?xml version="1.0" encoding="utf-8"?>
<sst xmlns="http://schemas.openxmlformats.org/spreadsheetml/2006/main" count="98" uniqueCount="69">
  <si>
    <t>Asset Type</t>
  </si>
  <si>
    <t>Description</t>
  </si>
  <si>
    <t>Quantity</t>
  </si>
  <si>
    <t>Price</t>
  </si>
  <si>
    <t>Market Value</t>
  </si>
  <si>
    <t>Equity</t>
  </si>
  <si>
    <t>ASML Holding</t>
  </si>
  <si>
    <t>LVMH</t>
  </si>
  <si>
    <t>Microsoft Corp</t>
  </si>
  <si>
    <t>Cash</t>
  </si>
  <si>
    <t>EUR cash account</t>
  </si>
  <si>
    <t>Receivable</t>
  </si>
  <si>
    <t>Accrued Income</t>
  </si>
  <si>
    <t>TOTAL ASSETS</t>
  </si>
  <si>
    <t>Liability Type</t>
  </si>
  <si>
    <t>Amount</t>
  </si>
  <si>
    <t>Payable</t>
  </si>
  <si>
    <t>Accrued Fees</t>
  </si>
  <si>
    <t>TOTAL LIABILITIES</t>
  </si>
  <si>
    <t>Total Assets</t>
  </si>
  <si>
    <t>Total Liabilities</t>
  </si>
  <si>
    <t>Net Asset Value</t>
  </si>
  <si>
    <t>Number of Outstanding Shares</t>
  </si>
  <si>
    <t>NAV per Share</t>
  </si>
  <si>
    <t>TOTAL</t>
  </si>
  <si>
    <t>Fund-of-Funds investment</t>
  </si>
  <si>
    <t>Date</t>
  </si>
  <si>
    <t>Transaction Type</t>
  </si>
  <si>
    <t>Credit account</t>
  </si>
  <si>
    <t>Debit account</t>
  </si>
  <si>
    <t>Subscription</t>
  </si>
  <si>
    <t>Share Capital</t>
  </si>
  <si>
    <t>Investor subscription</t>
  </si>
  <si>
    <t>Dividend Income</t>
  </si>
  <si>
    <t>Income (Dividends)</t>
  </si>
  <si>
    <t>ASML dividend received</t>
  </si>
  <si>
    <t>Daily management fee accrual</t>
  </si>
  <si>
    <t>Fee Accrual</t>
  </si>
  <si>
    <t>Management fees</t>
  </si>
  <si>
    <t>Accrued fees</t>
  </si>
  <si>
    <t>Accrued income</t>
  </si>
  <si>
    <t>Interest Income</t>
  </si>
  <si>
    <t>Interest Accrual</t>
  </si>
  <si>
    <t>Bond interest accrual</t>
  </si>
  <si>
    <t>Depositary fee payment</t>
  </si>
  <si>
    <t>Payment</t>
  </si>
  <si>
    <t>Account</t>
  </si>
  <si>
    <t>Total Debit</t>
  </si>
  <si>
    <t>Total Credit</t>
  </si>
  <si>
    <t>Net Balance</t>
  </si>
  <si>
    <t>Interest income</t>
  </si>
  <si>
    <t>ASML dividend receivable</t>
  </si>
  <si>
    <t>Accrued bond interest</t>
  </si>
  <si>
    <t>Consolidated position — 3 UCITS sub-funds</t>
  </si>
  <si>
    <t>Depositary invoice payable</t>
  </si>
  <si>
    <t>Accrued management fees (daily)</t>
  </si>
  <si>
    <t>Accrued performance fees</t>
  </si>
  <si>
    <t>Accrued fees — Fund-of-Funds</t>
  </si>
  <si>
    <t>Sub-fund</t>
  </si>
  <si>
    <t>Units held</t>
  </si>
  <si>
    <t>Sub-fund NAV per unit</t>
  </si>
  <si>
    <t>Annual sub-fund fee</t>
  </si>
  <si>
    <t>Market value</t>
  </si>
  <si>
    <t>Daily accrued fees</t>
  </si>
  <si>
    <t>Sub-fund A (bonds)</t>
  </si>
  <si>
    <t>Sub-fund B (US equities)</t>
  </si>
  <si>
    <t>Sub-fund C (emerging market equities)</t>
  </si>
  <si>
    <t>Balance</t>
  </si>
  <si>
    <t>Investor subscription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</si>
</sst>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43" fontId="0" fillId="0" borderId="0" xfId="1" applyFont="1"/>
    <xf numFmtId="0" fontId="0" fillId="2" borderId="1" xfId="0" applyFill="1" applyBorder="1"/>
    <xf numFmtId="0" fontId="0" fillId="0" borderId="1" xfId="0" applyBorder="1"/>
    <xf numFmtId="43" fontId="0" fillId="0" borderId="1" xfId="1" applyFont="1" applyBorder="1"/>
    <xf numFmtId="0" fontId="0" fillId="3" borderId="1" xfId="0" applyFill="1" applyBorder="1"/>
    <xf numFmtId="43" fontId="0" fillId="3" borderId="1" xfId="1" applyFont="1" applyFill="1" applyBorder="1"/>
    <xf numFmtId="9" fontId="0" fillId="0" borderId="0" xfId="0" applyNumberFormat="1"/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0" fontId="2" fillId="2" borderId="1" xfId="0" applyFont="1" applyFill="1" applyBorder="1"/>
    <xf numFmtId="4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0" fontId="0" fillId="0" borderId="1" xfId="0" applyNumberFormat="1" applyBorder="1"/>
    <xf numFmtId="10" fontId="0" fillId="0" borderId="1" xfId="2" applyNumberFormat="1" applyFont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43" fontId="0" fillId="3" borderId="1" xfId="1" applyFont="1" applyFill="1" applyBorder="1" applyAlignment="1">
      <alignment horizontal="right" vertical="center"/>
    </xf>
    <xf numFmtId="43" fontId="0" fillId="0" borderId="1" xfId="1" applyFont="1" applyBorder="1" applyAlignment="1">
      <alignment horizontal="right" vertical="center"/>
    </xf>
    <xf numFmtId="14" fontId="0" fillId="0" borderId="1" xfId="0" applyNumberFormat="1" applyBorder="1"/>
    <xf numFmtId="0" fontId="0" fillId="4" borderId="1" xfId="0" applyFill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DA19-FCC4-447D-B132-7320A0C60E42}">
  <dimension ref="A1:E9"/>
  <sheetViews>
    <sheetView workbookViewId="0">
      <selection activeCell="A9" sqref="A9:E9"/>
    </sheetView>
  </sheetViews>
  <sheetFormatPr baseColWidth="10" defaultRowHeight="14.4" x14ac:dyDescent="0.3"/>
  <cols>
    <col min="1" max="1" width="14.109375" bestFit="1" customWidth="1"/>
    <col min="2" max="2" width="23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>
        <v>200</v>
      </c>
      <c r="D2" s="4">
        <v>650</v>
      </c>
      <c r="E2" s="22">
        <f>+D2*C2</f>
        <v>130000</v>
      </c>
    </row>
    <row r="3" spans="1:5" x14ac:dyDescent="0.3">
      <c r="A3" s="3" t="s">
        <v>5</v>
      </c>
      <c r="B3" s="3" t="s">
        <v>7</v>
      </c>
      <c r="C3" s="3">
        <v>150</v>
      </c>
      <c r="D3" s="4">
        <v>720</v>
      </c>
      <c r="E3" s="22">
        <f t="shared" ref="E3:E4" si="0">+D3*C3</f>
        <v>108000</v>
      </c>
    </row>
    <row r="4" spans="1:5" x14ac:dyDescent="0.3">
      <c r="A4" s="3" t="s">
        <v>5</v>
      </c>
      <c r="B4" s="3" t="s">
        <v>8</v>
      </c>
      <c r="C4" s="3">
        <v>300</v>
      </c>
      <c r="D4" s="4">
        <v>410</v>
      </c>
      <c r="E4" s="22">
        <f t="shared" si="0"/>
        <v>123000</v>
      </c>
    </row>
    <row r="5" spans="1:5" x14ac:dyDescent="0.3">
      <c r="A5" s="5" t="s">
        <v>9</v>
      </c>
      <c r="B5" s="5" t="s">
        <v>10</v>
      </c>
      <c r="C5" s="5"/>
      <c r="D5" s="6"/>
      <c r="E5" s="21">
        <v>133300</v>
      </c>
    </row>
    <row r="6" spans="1:5" x14ac:dyDescent="0.3">
      <c r="A6" s="5" t="s">
        <v>11</v>
      </c>
      <c r="B6" s="5" t="s">
        <v>51</v>
      </c>
      <c r="C6" s="5"/>
      <c r="D6" s="6"/>
      <c r="E6" s="21">
        <v>3200</v>
      </c>
    </row>
    <row r="7" spans="1:5" x14ac:dyDescent="0.3">
      <c r="A7" s="5" t="s">
        <v>12</v>
      </c>
      <c r="B7" s="5" t="s">
        <v>52</v>
      </c>
      <c r="C7" s="5"/>
      <c r="D7" s="6"/>
      <c r="E7" s="21">
        <v>1150</v>
      </c>
    </row>
    <row r="8" spans="1:5" ht="28.8" x14ac:dyDescent="0.3">
      <c r="A8" s="20" t="s">
        <v>25</v>
      </c>
      <c r="B8" s="20" t="s">
        <v>53</v>
      </c>
      <c r="C8" s="5"/>
      <c r="D8" s="6"/>
      <c r="E8" s="21">
        <f>+'Fund-of-Funds'!E5</f>
        <v>134500</v>
      </c>
    </row>
    <row r="9" spans="1:5" x14ac:dyDescent="0.3">
      <c r="A9" s="8" t="s">
        <v>13</v>
      </c>
      <c r="B9" s="8"/>
      <c r="C9" s="8"/>
      <c r="D9" s="8"/>
      <c r="E9" s="10">
        <f>+SUM(E2:E8)</f>
        <v>633150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0DBC-E8D0-4A44-A3D3-1DDCFD82E51B}">
  <dimension ref="A1:F7"/>
  <sheetViews>
    <sheetView workbookViewId="0">
      <selection activeCell="B11" sqref="B11"/>
    </sheetView>
  </sheetViews>
  <sheetFormatPr baseColWidth="10" defaultRowHeight="14.4" x14ac:dyDescent="0.3"/>
  <cols>
    <col min="1" max="1" width="15.6640625" bestFit="1" customWidth="1"/>
    <col min="2" max="2" width="27.33203125" bestFit="1" customWidth="1"/>
  </cols>
  <sheetData>
    <row r="1" spans="1:6" x14ac:dyDescent="0.3">
      <c r="A1" s="2" t="s">
        <v>14</v>
      </c>
      <c r="B1" s="2" t="s">
        <v>1</v>
      </c>
      <c r="C1" s="2" t="s">
        <v>15</v>
      </c>
    </row>
    <row r="2" spans="1:6" x14ac:dyDescent="0.3">
      <c r="A2" s="3" t="s">
        <v>16</v>
      </c>
      <c r="B2" s="3" t="s">
        <v>54</v>
      </c>
      <c r="C2" s="4">
        <v>0</v>
      </c>
    </row>
    <row r="3" spans="1:6" x14ac:dyDescent="0.3">
      <c r="A3" s="3" t="s">
        <v>17</v>
      </c>
      <c r="B3" s="3" t="s">
        <v>55</v>
      </c>
      <c r="C3" s="4">
        <v>16.02</v>
      </c>
      <c r="F3" s="7">
        <v>0.01</v>
      </c>
    </row>
    <row r="4" spans="1:6" x14ac:dyDescent="0.3">
      <c r="A4" s="3" t="s">
        <v>17</v>
      </c>
      <c r="B4" s="3" t="s">
        <v>56</v>
      </c>
      <c r="C4" s="4">
        <v>1800</v>
      </c>
    </row>
    <row r="5" spans="1:6" x14ac:dyDescent="0.3">
      <c r="A5" s="3" t="s">
        <v>17</v>
      </c>
      <c r="B5" s="3" t="s">
        <v>57</v>
      </c>
      <c r="C5" s="4">
        <f>+'Fund-of-Funds'!F5</f>
        <v>4.0027397260273974</v>
      </c>
    </row>
    <row r="6" spans="1:6" x14ac:dyDescent="0.3">
      <c r="A6" s="8" t="s">
        <v>18</v>
      </c>
      <c r="B6" s="8"/>
      <c r="C6" s="9">
        <f>+SUM(C2:C5)</f>
        <v>1820.0227397260273</v>
      </c>
    </row>
    <row r="7" spans="1:6" x14ac:dyDescent="0.3">
      <c r="C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BEF9-E946-4D53-B5FF-3BD5A84C160C}">
  <dimension ref="A1:B5"/>
  <sheetViews>
    <sheetView workbookViewId="0">
      <selection activeCell="A5" sqref="A1:A5"/>
    </sheetView>
  </sheetViews>
  <sheetFormatPr baseColWidth="10" defaultRowHeight="14.4" x14ac:dyDescent="0.3"/>
  <cols>
    <col min="1" max="1" width="25.5546875" bestFit="1" customWidth="1"/>
    <col min="2" max="2" width="12.77734375" bestFit="1" customWidth="1"/>
  </cols>
  <sheetData>
    <row r="1" spans="1:2" x14ac:dyDescent="0.3">
      <c r="A1" s="2" t="s">
        <v>19</v>
      </c>
      <c r="B1" s="12">
        <f>+Assets!E9</f>
        <v>633150</v>
      </c>
    </row>
    <row r="2" spans="1:2" x14ac:dyDescent="0.3">
      <c r="A2" s="2" t="s">
        <v>20</v>
      </c>
      <c r="B2" s="12">
        <f>+Liabilities!C6</f>
        <v>1820.0227397260273</v>
      </c>
    </row>
    <row r="3" spans="1:2" x14ac:dyDescent="0.3">
      <c r="A3" s="2" t="s">
        <v>21</v>
      </c>
      <c r="B3" s="13">
        <f>+B1-B2</f>
        <v>631329.977260274</v>
      </c>
    </row>
    <row r="4" spans="1:2" x14ac:dyDescent="0.3">
      <c r="A4" s="2" t="s">
        <v>22</v>
      </c>
      <c r="B4" s="14">
        <f>4480+385.86</f>
        <v>4865.8599999999997</v>
      </c>
    </row>
    <row r="5" spans="1:2" x14ac:dyDescent="0.3">
      <c r="A5" s="11" t="s">
        <v>23</v>
      </c>
      <c r="B5" s="15">
        <f>+B3/B4</f>
        <v>129.74684377690153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DFD7-3973-48BA-AFC4-B88EAA110AFA}">
  <dimension ref="A1:F5"/>
  <sheetViews>
    <sheetView workbookViewId="0">
      <selection activeCell="A4" sqref="A1:F4"/>
    </sheetView>
  </sheetViews>
  <sheetFormatPr baseColWidth="10" defaultRowHeight="14.4" x14ac:dyDescent="0.3"/>
  <cols>
    <col min="1" max="1" width="31.77734375" bestFit="1" customWidth="1"/>
    <col min="2" max="2" width="13" bestFit="1" customWidth="1"/>
    <col min="3" max="3" width="14.77734375" customWidth="1"/>
    <col min="4" max="4" width="14.109375" customWidth="1"/>
    <col min="5" max="5" width="15.109375" bestFit="1" customWidth="1"/>
    <col min="6" max="6" width="18" customWidth="1"/>
  </cols>
  <sheetData>
    <row r="1" spans="1:6" ht="28.8" x14ac:dyDescent="0.3">
      <c r="A1" s="18" t="s">
        <v>58</v>
      </c>
      <c r="B1" s="18" t="s">
        <v>59</v>
      </c>
      <c r="C1" s="19" t="s">
        <v>60</v>
      </c>
      <c r="D1" s="19" t="s">
        <v>61</v>
      </c>
      <c r="E1" s="18" t="s">
        <v>62</v>
      </c>
      <c r="F1" s="19" t="s">
        <v>63</v>
      </c>
    </row>
    <row r="2" spans="1:6" x14ac:dyDescent="0.3">
      <c r="A2" s="2" t="s">
        <v>64</v>
      </c>
      <c r="B2" s="3">
        <v>500</v>
      </c>
      <c r="C2" s="3">
        <v>105</v>
      </c>
      <c r="D2" s="16">
        <v>8.0000000000000002E-3</v>
      </c>
      <c r="E2" s="3">
        <f>+B2*C2</f>
        <v>52500</v>
      </c>
      <c r="F2" s="3">
        <f>+(E2*D2)/365</f>
        <v>1.1506849315068493</v>
      </c>
    </row>
    <row r="3" spans="1:6" x14ac:dyDescent="0.3">
      <c r="A3" s="2" t="s">
        <v>65</v>
      </c>
      <c r="B3" s="3">
        <v>300</v>
      </c>
      <c r="C3" s="3">
        <v>210</v>
      </c>
      <c r="D3" s="16">
        <v>1.2E-2</v>
      </c>
      <c r="E3" s="3">
        <f t="shared" ref="E3:E4" si="0">+B3*C3</f>
        <v>63000</v>
      </c>
      <c r="F3" s="3">
        <f t="shared" ref="F3:F4" si="1">+(E3*D3)/365</f>
        <v>2.0712328767123287</v>
      </c>
    </row>
    <row r="4" spans="1:6" x14ac:dyDescent="0.3">
      <c r="A4" s="2" t="s">
        <v>66</v>
      </c>
      <c r="B4" s="3">
        <v>200</v>
      </c>
      <c r="C4" s="3">
        <v>95</v>
      </c>
      <c r="D4" s="17">
        <v>1.4999999999999999E-2</v>
      </c>
      <c r="E4" s="3">
        <f t="shared" si="0"/>
        <v>19000</v>
      </c>
      <c r="F4" s="3">
        <f t="shared" si="1"/>
        <v>0.78082191780821919</v>
      </c>
    </row>
    <row r="5" spans="1:6" x14ac:dyDescent="0.3">
      <c r="A5" t="s">
        <v>24</v>
      </c>
      <c r="E5">
        <f>+SUM(E2:E4)</f>
        <v>134500</v>
      </c>
      <c r="F5">
        <f>+SUM(F2:F4)</f>
        <v>4.0027397260273974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4AC8B-72B8-4BE3-80AF-CFBD91888BFC}">
  <dimension ref="A1:F6"/>
  <sheetViews>
    <sheetView workbookViewId="0">
      <selection activeCell="F6" activeCellId="5" sqref="A1:A3 C1:C3 F1:F3 A6 C6 F6"/>
    </sheetView>
  </sheetViews>
  <sheetFormatPr baseColWidth="10" defaultRowHeight="14.4" x14ac:dyDescent="0.3"/>
  <cols>
    <col min="2" max="2" width="14.44140625" bestFit="1" customWidth="1"/>
    <col min="3" max="3" width="25.33203125" bestFit="1" customWidth="1"/>
    <col min="4" max="4" width="15.21875" bestFit="1" customWidth="1"/>
    <col min="5" max="5" width="16.33203125" bestFit="1" customWidth="1"/>
  </cols>
  <sheetData>
    <row r="1" spans="1:6" x14ac:dyDescent="0.3">
      <c r="A1" s="2" t="s">
        <v>26</v>
      </c>
      <c r="B1" s="2" t="s">
        <v>27</v>
      </c>
      <c r="C1" s="2" t="s">
        <v>1</v>
      </c>
      <c r="D1" s="2" t="s">
        <v>29</v>
      </c>
      <c r="E1" s="2" t="s">
        <v>28</v>
      </c>
      <c r="F1" s="2" t="s">
        <v>15</v>
      </c>
    </row>
    <row r="2" spans="1:6" x14ac:dyDescent="0.3">
      <c r="A2" s="23">
        <v>46273</v>
      </c>
      <c r="B2" s="3" t="s">
        <v>30</v>
      </c>
      <c r="C2" s="3" t="s">
        <v>32</v>
      </c>
      <c r="D2" s="3" t="s">
        <v>9</v>
      </c>
      <c r="E2" s="3" t="s">
        <v>31</v>
      </c>
      <c r="F2" s="4">
        <v>50000</v>
      </c>
    </row>
    <row r="3" spans="1:6" x14ac:dyDescent="0.3">
      <c r="A3" s="23">
        <v>46273</v>
      </c>
      <c r="B3" s="3" t="s">
        <v>33</v>
      </c>
      <c r="C3" s="3" t="s">
        <v>35</v>
      </c>
      <c r="D3" s="3" t="s">
        <v>9</v>
      </c>
      <c r="E3" s="3" t="s">
        <v>34</v>
      </c>
      <c r="F3" s="4">
        <v>800</v>
      </c>
    </row>
    <row r="4" spans="1:6" x14ac:dyDescent="0.3">
      <c r="A4" s="23">
        <v>46273</v>
      </c>
      <c r="B4" s="3" t="s">
        <v>37</v>
      </c>
      <c r="C4" s="3" t="s">
        <v>36</v>
      </c>
      <c r="D4" s="3" t="s">
        <v>38</v>
      </c>
      <c r="E4" s="3" t="s">
        <v>39</v>
      </c>
      <c r="F4" s="4">
        <v>16.02</v>
      </c>
    </row>
    <row r="5" spans="1:6" x14ac:dyDescent="0.3">
      <c r="A5" s="23">
        <v>46273</v>
      </c>
      <c r="B5" s="3" t="s">
        <v>42</v>
      </c>
      <c r="C5" s="3" t="s">
        <v>43</v>
      </c>
      <c r="D5" s="3" t="s">
        <v>12</v>
      </c>
      <c r="E5" s="3" t="s">
        <v>41</v>
      </c>
      <c r="F5" s="4">
        <v>1150</v>
      </c>
    </row>
    <row r="6" spans="1:6" x14ac:dyDescent="0.3">
      <c r="A6" s="23">
        <v>46273</v>
      </c>
      <c r="B6" s="3" t="s">
        <v>45</v>
      </c>
      <c r="C6" s="3" t="s">
        <v>44</v>
      </c>
      <c r="D6" s="3" t="s">
        <v>16</v>
      </c>
      <c r="E6" s="3" t="s">
        <v>9</v>
      </c>
      <c r="F6" s="4">
        <v>2500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C1313-92C4-4B45-AA8A-E858F6CE7DDC}">
  <dimension ref="A1:D9"/>
  <sheetViews>
    <sheetView workbookViewId="0">
      <selection activeCell="C9" sqref="C9"/>
    </sheetView>
  </sheetViews>
  <sheetFormatPr baseColWidth="10" defaultRowHeight="14.4" x14ac:dyDescent="0.3"/>
  <cols>
    <col min="1" max="1" width="16.33203125" bestFit="1" customWidth="1"/>
  </cols>
  <sheetData>
    <row r="1" spans="1:4" x14ac:dyDescent="0.3">
      <c r="A1" s="24" t="s">
        <v>46</v>
      </c>
      <c r="B1" s="24" t="s">
        <v>47</v>
      </c>
      <c r="C1" s="24" t="s">
        <v>48</v>
      </c>
      <c r="D1" s="24" t="s">
        <v>49</v>
      </c>
    </row>
    <row r="2" spans="1:4" x14ac:dyDescent="0.3">
      <c r="A2" s="2" t="s">
        <v>9</v>
      </c>
      <c r="B2" s="3">
        <f>+SUMIF('Transaction Journal'!D:D,A2,'Transaction Journal'!F:F)</f>
        <v>50800</v>
      </c>
      <c r="C2" s="3">
        <f>+SUMIF('Transaction Journal'!E:E,A2,'Transaction Journal'!F:F)</f>
        <v>2500</v>
      </c>
      <c r="D2" s="3">
        <f>+B2-C2</f>
        <v>48300</v>
      </c>
    </row>
    <row r="3" spans="1:4" x14ac:dyDescent="0.3">
      <c r="A3" s="2" t="s">
        <v>31</v>
      </c>
      <c r="B3" s="3">
        <f>+SUMIF('Transaction Journal'!D:D,A3,'Transaction Journal'!F:F)</f>
        <v>0</v>
      </c>
      <c r="C3" s="3">
        <f>+SUMIF('Transaction Journal'!E:E,A3,'Transaction Journal'!F:F)</f>
        <v>50000</v>
      </c>
      <c r="D3" s="3">
        <f t="shared" ref="D3:D9" si="0">+B3-C3</f>
        <v>-50000</v>
      </c>
    </row>
    <row r="4" spans="1:4" x14ac:dyDescent="0.3">
      <c r="A4" s="2" t="s">
        <v>34</v>
      </c>
      <c r="B4" s="3">
        <f>+SUMIF('Transaction Journal'!D:D,A4,'Transaction Journal'!F:F)</f>
        <v>0</v>
      </c>
      <c r="C4" s="3">
        <f>+SUMIF('Transaction Journal'!E:E,A4,'Transaction Journal'!F:F)</f>
        <v>800</v>
      </c>
      <c r="D4" s="3">
        <f t="shared" si="0"/>
        <v>-800</v>
      </c>
    </row>
    <row r="5" spans="1:4" x14ac:dyDescent="0.3">
      <c r="A5" s="2" t="s">
        <v>38</v>
      </c>
      <c r="B5" s="3">
        <f>+SUMIF('Transaction Journal'!D:D,A5,'Transaction Journal'!F:F)</f>
        <v>16.02</v>
      </c>
      <c r="C5" s="3">
        <f>+SUMIF('Transaction Journal'!E:E,A5,'Transaction Journal'!F:F)</f>
        <v>0</v>
      </c>
      <c r="D5" s="3">
        <f t="shared" si="0"/>
        <v>16.02</v>
      </c>
    </row>
    <row r="6" spans="1:4" x14ac:dyDescent="0.3">
      <c r="A6" s="2" t="s">
        <v>39</v>
      </c>
      <c r="B6" s="3">
        <f>+SUMIF('Transaction Journal'!D:D,A6,'Transaction Journal'!F:F)</f>
        <v>0</v>
      </c>
      <c r="C6" s="3">
        <f>+SUMIF('Transaction Journal'!E:E,A6,'Transaction Journal'!F:F)</f>
        <v>16.02</v>
      </c>
      <c r="D6" s="3">
        <f t="shared" si="0"/>
        <v>-16.02</v>
      </c>
    </row>
    <row r="7" spans="1:4" x14ac:dyDescent="0.3">
      <c r="A7" s="2" t="s">
        <v>40</v>
      </c>
      <c r="B7" s="3">
        <f>+SUMIF('Transaction Journal'!D:D,A7,'Transaction Journal'!F:F)</f>
        <v>1150</v>
      </c>
      <c r="C7" s="3">
        <f>+SUMIF('Transaction Journal'!E:E,A7,'Transaction Journal'!F:F)</f>
        <v>0</v>
      </c>
      <c r="D7" s="3">
        <f t="shared" si="0"/>
        <v>1150</v>
      </c>
    </row>
    <row r="8" spans="1:4" x14ac:dyDescent="0.3">
      <c r="A8" s="2" t="s">
        <v>50</v>
      </c>
      <c r="B8" s="3">
        <f>+SUMIF('Transaction Journal'!D:D,A8,'Transaction Journal'!F:F)</f>
        <v>0</v>
      </c>
      <c r="C8" s="3">
        <f>+SUMIF('Transaction Journal'!E:E,A8,'Transaction Journal'!F:F)</f>
        <v>1150</v>
      </c>
      <c r="D8" s="3">
        <f t="shared" si="0"/>
        <v>-1150</v>
      </c>
    </row>
    <row r="9" spans="1:4" x14ac:dyDescent="0.3">
      <c r="A9" s="2" t="s">
        <v>16</v>
      </c>
      <c r="B9" s="3">
        <f>+SUMIF('Transaction Journal'!D:D,A9,'Transaction Journal'!F:F)</f>
        <v>2500</v>
      </c>
      <c r="C9" s="3">
        <f>+SUMIF('Transaction Journal'!E:E,A9,'Transaction Journal'!F:F)</f>
        <v>0</v>
      </c>
      <c r="D9" s="3">
        <f t="shared" si="0"/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AAA7-26C2-4E5D-831F-19D1505B49AD}">
  <dimension ref="A1:D4"/>
  <sheetViews>
    <sheetView tabSelected="1" workbookViewId="0">
      <selection activeCell="G19" sqref="G19"/>
    </sheetView>
  </sheetViews>
  <sheetFormatPr baseColWidth="10" defaultRowHeight="14.4" x14ac:dyDescent="0.3"/>
  <cols>
    <col min="2" max="2" width="17.77734375" customWidth="1"/>
    <col min="3" max="3" width="11.5546875" style="1"/>
    <col min="4" max="4" width="11.77734375" bestFit="1" customWidth="1"/>
  </cols>
  <sheetData>
    <row r="1" spans="1:4" x14ac:dyDescent="0.3">
      <c r="A1" s="28" t="s">
        <v>26</v>
      </c>
      <c r="B1" s="28" t="s">
        <v>1</v>
      </c>
      <c r="C1" s="27" t="s">
        <v>15</v>
      </c>
      <c r="D1" s="28" t="s">
        <v>67</v>
      </c>
    </row>
    <row r="2" spans="1:4" ht="28.8" x14ac:dyDescent="0.3">
      <c r="A2" s="25">
        <v>46273</v>
      </c>
      <c r="B2" s="26" t="s">
        <v>68</v>
      </c>
      <c r="C2" s="27">
        <v>50000</v>
      </c>
      <c r="D2" s="29">
        <f>+C2</f>
        <v>50000</v>
      </c>
    </row>
    <row r="3" spans="1:4" ht="28.8" x14ac:dyDescent="0.3">
      <c r="A3" s="25">
        <v>46273</v>
      </c>
      <c r="B3" s="26" t="s">
        <v>35</v>
      </c>
      <c r="C3" s="27">
        <v>800</v>
      </c>
      <c r="D3" s="30">
        <f>+D2+C3</f>
        <v>50800</v>
      </c>
    </row>
    <row r="4" spans="1:4" ht="28.8" x14ac:dyDescent="0.3">
      <c r="A4" s="25">
        <v>46274</v>
      </c>
      <c r="B4" s="26" t="s">
        <v>44</v>
      </c>
      <c r="C4" s="27">
        <v>-2500</v>
      </c>
      <c r="D4" s="30">
        <f>+D3+C4</f>
        <v>48300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9E4D-4816-4BEB-9529-C34F0757E54E}">
  <dimension ref="A1:C4"/>
  <sheetViews>
    <sheetView workbookViewId="0">
      <selection sqref="A1:C4"/>
    </sheetView>
  </sheetViews>
  <sheetFormatPr baseColWidth="10" defaultRowHeight="14.4" x14ac:dyDescent="0.3"/>
  <sheetData>
    <row r="1" spans="1:3" x14ac:dyDescent="0.3">
      <c r="A1" s="2" t="s">
        <v>26</v>
      </c>
      <c r="B1" s="2" t="s">
        <v>1</v>
      </c>
      <c r="C1" s="2" t="s">
        <v>15</v>
      </c>
    </row>
    <row r="2" spans="1:3" x14ac:dyDescent="0.3">
      <c r="A2" s="23">
        <v>46273</v>
      </c>
      <c r="B2" s="3" t="s">
        <v>32</v>
      </c>
      <c r="C2" s="4">
        <v>50000</v>
      </c>
    </row>
    <row r="3" spans="1:3" x14ac:dyDescent="0.3">
      <c r="A3" s="23">
        <v>46273</v>
      </c>
      <c r="B3" s="3" t="s">
        <v>35</v>
      </c>
      <c r="C3" s="4">
        <v>800</v>
      </c>
    </row>
    <row r="4" spans="1:3" x14ac:dyDescent="0.3">
      <c r="A4" s="23">
        <v>46273</v>
      </c>
      <c r="B4" s="3" t="s">
        <v>44</v>
      </c>
      <c r="C4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Assets</vt:lpstr>
      <vt:lpstr>Liabilities</vt:lpstr>
      <vt:lpstr>NAV Calculation</vt:lpstr>
      <vt:lpstr>Fund-of-Funds</vt:lpstr>
      <vt:lpstr>Transaction Journal</vt:lpstr>
      <vt:lpstr>Trial Balance</vt:lpstr>
      <vt:lpstr>Bank Statement</vt:lpstr>
      <vt:lpstr>TJ_Export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D. DEVILLET</dc:creator>
  <cp:lastModifiedBy>Tristan D. DEVILLET</cp:lastModifiedBy>
  <dcterms:created xsi:type="dcterms:W3CDTF">2026-09-04T21:28:13Z</dcterms:created>
  <dcterms:modified xsi:type="dcterms:W3CDTF">2026-09-20T19:56:45Z</dcterms:modified>
</cp:coreProperties>
</file>