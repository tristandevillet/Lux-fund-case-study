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vil\fund accounting roadmap\lux-fund-case-study\nav\"/>
    </mc:Choice>
  </mc:AlternateContent>
  <xr:revisionPtr revIDLastSave="0" documentId="13_ncr:1_{60E997E5-A300-4887-B820-928BACDACE70}" xr6:coauthVersionLast="47" xr6:coauthVersionMax="47" xr10:uidLastSave="{00000000-0000-0000-0000-000000000000}"/>
  <bookViews>
    <workbookView xWindow="-108" yWindow="-108" windowWidth="23256" windowHeight="12456" activeTab="2" xr2:uid="{719DAA5C-B416-4958-BA3B-EFD9ABF611FA}"/>
  </bookViews>
  <sheets>
    <sheet name="Assets" sheetId="1" r:id="rId1"/>
    <sheet name="Liabilities" sheetId="2" r:id="rId2"/>
    <sheet name="NAV Calcul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3" l="1"/>
  <c r="B5" i="3" s="1"/>
  <c r="B2" i="3"/>
  <c r="B1" i="3"/>
  <c r="C5" i="2"/>
  <c r="C3" i="2"/>
  <c r="E8" i="1"/>
  <c r="E3" i="1"/>
  <c r="E4" i="1"/>
  <c r="E2" i="1"/>
</calcChain>
</file>

<file path=xl/sharedStrings.xml><?xml version="1.0" encoding="utf-8"?>
<sst xmlns="http://schemas.openxmlformats.org/spreadsheetml/2006/main" count="33" uniqueCount="29">
  <si>
    <t>Asset Type</t>
  </si>
  <si>
    <t>Description</t>
  </si>
  <si>
    <t>Quantity</t>
  </si>
  <si>
    <t>Price</t>
  </si>
  <si>
    <t>Market Value</t>
  </si>
  <si>
    <t>Equity</t>
  </si>
  <si>
    <t>ASML Holding</t>
  </si>
  <si>
    <t>LVMH</t>
  </si>
  <si>
    <t>Microsoft Corp</t>
  </si>
  <si>
    <t>Cash</t>
  </si>
  <si>
    <t>EUR cash account</t>
  </si>
  <si>
    <t>Receivable</t>
  </si>
  <si>
    <t>Dividende ASML à recevoir</t>
  </si>
  <si>
    <t>Accrued Income</t>
  </si>
  <si>
    <t>Intérêts courus (obligations)</t>
  </si>
  <si>
    <t>TOTAL ASSETS</t>
  </si>
  <si>
    <t>Liability Type</t>
  </si>
  <si>
    <t>Amount</t>
  </si>
  <si>
    <t>Payable</t>
  </si>
  <si>
    <t>Accrued Fees</t>
  </si>
  <si>
    <t>Facture dépositaire à payer</t>
  </si>
  <si>
    <t>Frais de performance courus</t>
  </si>
  <si>
    <t>Frais de gestion courus (daily)</t>
  </si>
  <si>
    <t>TOTAL LIABILITIES</t>
  </si>
  <si>
    <t>Total Assets</t>
  </si>
  <si>
    <t>Total Liabilities</t>
  </si>
  <si>
    <t>Net Asset Value</t>
  </si>
  <si>
    <t>Number of Outstanding Shares</t>
  </si>
  <si>
    <t>NAV per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</si>
</sst>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43" fontId="0" fillId="0" borderId="0" xfId="1" applyFont="1"/>
    <xf numFmtId="0" fontId="0" fillId="2" borderId="1" xfId="0" applyFill="1" applyBorder="1"/>
    <xf numFmtId="0" fontId="0" fillId="0" borderId="1" xfId="0" applyBorder="1"/>
    <xf numFmtId="43" fontId="0" fillId="0" borderId="1" xfId="1" applyFont="1" applyBorder="1"/>
    <xf numFmtId="0" fontId="0" fillId="3" borderId="1" xfId="0" applyFill="1" applyBorder="1"/>
    <xf numFmtId="43" fontId="0" fillId="3" borderId="1" xfId="1" applyFont="1" applyFill="1" applyBorder="1"/>
    <xf numFmtId="9" fontId="0" fillId="0" borderId="0" xfId="0" applyNumberFormat="1"/>
    <xf numFmtId="0" fontId="2" fillId="0" borderId="0" xfId="0" applyFont="1"/>
    <xf numFmtId="43" fontId="2" fillId="0" borderId="0" xfId="1" applyFont="1"/>
    <xf numFmtId="43" fontId="2" fillId="0" borderId="0" xfId="0" applyNumberFormat="1" applyFont="1"/>
    <xf numFmtId="0" fontId="2" fillId="2" borderId="1" xfId="0" applyFont="1" applyFill="1" applyBorder="1"/>
    <xf numFmtId="43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7DA19-FCC4-447D-B132-7320A0C60E42}">
  <dimension ref="A1:E8"/>
  <sheetViews>
    <sheetView workbookViewId="0">
      <selection activeCell="B17" sqref="B17"/>
    </sheetView>
  </sheetViews>
  <sheetFormatPr baseColWidth="10" defaultRowHeight="14.4" x14ac:dyDescent="0.3"/>
  <cols>
    <col min="1" max="1" width="14.109375" bestFit="1" customWidth="1"/>
    <col min="2" max="2" width="23.33203125" bestFit="1" customWidth="1"/>
  </cols>
  <sheetData>
    <row r="1" spans="1: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3" t="s">
        <v>6</v>
      </c>
      <c r="C2" s="3">
        <v>200</v>
      </c>
      <c r="D2" s="4">
        <v>650</v>
      </c>
      <c r="E2" s="4">
        <f>+D2*C2</f>
        <v>130000</v>
      </c>
    </row>
    <row r="3" spans="1:5" x14ac:dyDescent="0.3">
      <c r="A3" s="3" t="s">
        <v>5</v>
      </c>
      <c r="B3" s="3" t="s">
        <v>7</v>
      </c>
      <c r="C3" s="3">
        <v>150</v>
      </c>
      <c r="D3" s="4">
        <v>720</v>
      </c>
      <c r="E3" s="4">
        <f t="shared" ref="E3:E4" si="0">+D3*C3</f>
        <v>108000</v>
      </c>
    </row>
    <row r="4" spans="1:5" x14ac:dyDescent="0.3">
      <c r="A4" s="3" t="s">
        <v>5</v>
      </c>
      <c r="B4" s="3" t="s">
        <v>8</v>
      </c>
      <c r="C4" s="3">
        <v>300</v>
      </c>
      <c r="D4" s="4">
        <v>410</v>
      </c>
      <c r="E4" s="4">
        <f t="shared" si="0"/>
        <v>123000</v>
      </c>
    </row>
    <row r="5" spans="1:5" x14ac:dyDescent="0.3">
      <c r="A5" s="5" t="s">
        <v>9</v>
      </c>
      <c r="B5" s="5" t="s">
        <v>10</v>
      </c>
      <c r="C5" s="5"/>
      <c r="D5" s="6"/>
      <c r="E5" s="6">
        <v>85000</v>
      </c>
    </row>
    <row r="6" spans="1:5" x14ac:dyDescent="0.3">
      <c r="A6" s="5" t="s">
        <v>11</v>
      </c>
      <c r="B6" s="5" t="s">
        <v>12</v>
      </c>
      <c r="C6" s="5"/>
      <c r="D6" s="6"/>
      <c r="E6" s="6">
        <v>3200</v>
      </c>
    </row>
    <row r="7" spans="1:5" x14ac:dyDescent="0.3">
      <c r="A7" s="5" t="s">
        <v>13</v>
      </c>
      <c r="B7" s="5" t="s">
        <v>14</v>
      </c>
      <c r="C7" s="5"/>
      <c r="D7" s="6"/>
      <c r="E7" s="6">
        <v>1150</v>
      </c>
    </row>
    <row r="8" spans="1:5" x14ac:dyDescent="0.3">
      <c r="A8" s="8" t="s">
        <v>15</v>
      </c>
      <c r="B8" s="8"/>
      <c r="C8" s="8"/>
      <c r="D8" s="8"/>
      <c r="E8" s="10">
        <f>+SUM(E2:E7)</f>
        <v>450350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F0DBC-E8D0-4A44-A3D3-1DDCFD82E51B}">
  <dimension ref="A1:F6"/>
  <sheetViews>
    <sheetView workbookViewId="0">
      <selection activeCell="B16" sqref="B16"/>
    </sheetView>
  </sheetViews>
  <sheetFormatPr baseColWidth="10" defaultRowHeight="14.4" x14ac:dyDescent="0.3"/>
  <cols>
    <col min="1" max="1" width="15.6640625" bestFit="1" customWidth="1"/>
    <col min="2" max="2" width="24.6640625" bestFit="1" customWidth="1"/>
  </cols>
  <sheetData>
    <row r="1" spans="1:6" x14ac:dyDescent="0.3">
      <c r="A1" s="2" t="s">
        <v>16</v>
      </c>
      <c r="B1" s="2" t="s">
        <v>1</v>
      </c>
      <c r="C1" s="2" t="s">
        <v>17</v>
      </c>
    </row>
    <row r="2" spans="1:6" x14ac:dyDescent="0.3">
      <c r="A2" s="3" t="s">
        <v>18</v>
      </c>
      <c r="B2" s="3" t="s">
        <v>20</v>
      </c>
      <c r="C2" s="4">
        <v>2500</v>
      </c>
    </row>
    <row r="3" spans="1:6" x14ac:dyDescent="0.3">
      <c r="A3" s="3" t="s">
        <v>19</v>
      </c>
      <c r="B3" s="3" t="s">
        <v>22</v>
      </c>
      <c r="C3" s="4">
        <f>+(Assets!E8*Liabilities!F3)/365</f>
        <v>12.338356164383562</v>
      </c>
      <c r="F3" s="7">
        <v>0.01</v>
      </c>
    </row>
    <row r="4" spans="1:6" x14ac:dyDescent="0.3">
      <c r="A4" s="3" t="s">
        <v>19</v>
      </c>
      <c r="B4" s="3" t="s">
        <v>21</v>
      </c>
      <c r="C4" s="4">
        <v>1800</v>
      </c>
    </row>
    <row r="5" spans="1:6" x14ac:dyDescent="0.3">
      <c r="A5" s="8" t="s">
        <v>23</v>
      </c>
      <c r="B5" s="8"/>
      <c r="C5" s="9">
        <f>+SUM(C2:C4)</f>
        <v>4312.3383561643841</v>
      </c>
    </row>
    <row r="6" spans="1:6" x14ac:dyDescent="0.3">
      <c r="C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BEF9-E946-4D53-B5FF-3BD5A84C160C}">
  <dimension ref="A1:B5"/>
  <sheetViews>
    <sheetView tabSelected="1" workbookViewId="0">
      <selection activeCell="D5" sqref="D5"/>
    </sheetView>
  </sheetViews>
  <sheetFormatPr baseColWidth="10" defaultRowHeight="14.4" x14ac:dyDescent="0.3"/>
  <cols>
    <col min="1" max="1" width="25.5546875" bestFit="1" customWidth="1"/>
    <col min="2" max="2" width="12.77734375" bestFit="1" customWidth="1"/>
  </cols>
  <sheetData>
    <row r="1" spans="1:2" x14ac:dyDescent="0.3">
      <c r="A1" s="2" t="s">
        <v>24</v>
      </c>
      <c r="B1" s="12">
        <f>+Assets!E8</f>
        <v>450350</v>
      </c>
    </row>
    <row r="2" spans="1:2" x14ac:dyDescent="0.3">
      <c r="A2" s="2" t="s">
        <v>25</v>
      </c>
      <c r="B2" s="12">
        <f>+Liabilities!C5</f>
        <v>4312.3383561643841</v>
      </c>
    </row>
    <row r="3" spans="1:2" x14ac:dyDescent="0.3">
      <c r="A3" s="2" t="s">
        <v>26</v>
      </c>
      <c r="B3" s="13">
        <f>+B1-B2</f>
        <v>446037.6616438356</v>
      </c>
    </row>
    <row r="4" spans="1:2" x14ac:dyDescent="0.3">
      <c r="A4" s="2" t="s">
        <v>27</v>
      </c>
      <c r="B4" s="14">
        <v>4480</v>
      </c>
    </row>
    <row r="5" spans="1:2" x14ac:dyDescent="0.3">
      <c r="A5" s="11" t="s">
        <v>28</v>
      </c>
      <c r="B5" s="15">
        <f>+B3/B4</f>
        <v>99.561978045499018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Assets</vt:lpstr>
      <vt:lpstr>Liabilities</vt:lpstr>
      <vt:lpstr>NAV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D. DEVILLET</dc:creator>
  <cp:lastModifiedBy>Tristan D. DEVILLET</cp:lastModifiedBy>
  <dcterms:created xsi:type="dcterms:W3CDTF">2026-09-04T21:28:13Z</dcterms:created>
  <dcterms:modified xsi:type="dcterms:W3CDTF">2026-09-05T20:41:18Z</dcterms:modified>
</cp:coreProperties>
</file>