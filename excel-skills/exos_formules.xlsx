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l\Desktop\plan de fomration memories\"/>
    </mc:Choice>
  </mc:AlternateContent>
  <xr:revisionPtr revIDLastSave="0" documentId="13_ncr:1_{E285AA3E-877B-4AB1-B6B9-AEF3D15B2280}" xr6:coauthVersionLast="47" xr6:coauthVersionMax="47" xr10:uidLastSave="{00000000-0000-0000-0000-000000000000}"/>
  <bookViews>
    <workbookView xWindow="-108" yWindow="-108" windowWidth="23256" windowHeight="12456" xr2:uid="{3BE136E3-DC94-4EF7-BCF5-EAB0506A54CB}"/>
  </bookViews>
  <sheets>
    <sheet name="Tableau1" sheetId="6" r:id="rId1"/>
    <sheet name="Ledger" sheetId="1" r:id="rId2"/>
    <sheet name="TCD1 " sheetId="4" r:id="rId3"/>
    <sheet name="Tableau3" sheetId="7" r:id="rId4"/>
    <sheet name="Bank" sheetId="2" r:id="rId5"/>
    <sheet name="TCD2" sheetId="5" r:id="rId6"/>
  </sheets>
  <definedNames>
    <definedName name="DonnéesExternes_1" localSheetId="0" hidden="1">Tableau1!$A$1:$L$5</definedName>
    <definedName name="DonnéesExternes_1" localSheetId="3" hidden="1">Tableau3!$A$1:$G$9</definedName>
  </definedNames>
  <calcPr calcId="191029"/>
  <pivotCaches>
    <pivotCache cacheId="0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F2" i="2"/>
  <c r="G7" i="2"/>
  <c r="H3" i="2"/>
  <c r="H4" i="2"/>
  <c r="H5" i="2"/>
  <c r="H6" i="2"/>
  <c r="H7" i="2"/>
  <c r="H8" i="2"/>
  <c r="H9" i="2"/>
  <c r="H2" i="2"/>
  <c r="G3" i="2"/>
  <c r="G4" i="2"/>
  <c r="G5" i="2"/>
  <c r="G6" i="2"/>
  <c r="G8" i="2"/>
  <c r="G9" i="2"/>
  <c r="G2" i="2"/>
  <c r="F3" i="2"/>
  <c r="F4" i="2"/>
  <c r="F5" i="2"/>
  <c r="F6" i="2"/>
  <c r="F7" i="2"/>
  <c r="F8" i="2"/>
  <c r="F9" i="2"/>
  <c r="E3" i="2"/>
  <c r="E4" i="2"/>
  <c r="E5" i="2"/>
  <c r="E6" i="2"/>
  <c r="E7" i="2"/>
  <c r="E8" i="2"/>
  <c r="E9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2F87D-C256-47FE-81C3-EE4F4CCE7826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  <connection id="2" xr16:uid="{5860D69A-5C8C-4153-8FD0-DA38440E1E38}" keepAlive="1" name="Requête - Tableau3" description="Connexion à la requête « Tableau3 » dans le classeur." type="5" refreshedVersion="8" background="1" saveData="1">
    <dbPr connection="Provider=Microsoft.Mashup.OleDb.1;Data Source=$Workbook$;Location=Tableau3;Extended Properties=&quot;&quot;" command="SELECT * FROM [Tableau3]"/>
  </connection>
</connections>
</file>

<file path=xl/sharedStrings.xml><?xml version="1.0" encoding="utf-8"?>
<sst xmlns="http://schemas.openxmlformats.org/spreadsheetml/2006/main" count="159" uniqueCount="52">
  <si>
    <t>Transaction ID</t>
  </si>
  <si>
    <t>Date</t>
  </si>
  <si>
    <t>Compte</t>
  </si>
  <si>
    <t>Description</t>
  </si>
  <si>
    <t>Fonds</t>
  </si>
  <si>
    <t>Devise</t>
  </si>
  <si>
    <t>Montant</t>
  </si>
  <si>
    <t>TX001</t>
  </si>
  <si>
    <t>Management Fee</t>
  </si>
  <si>
    <t>Alpha</t>
  </si>
  <si>
    <t>EUR</t>
  </si>
  <si>
    <t>TX002</t>
  </si>
  <si>
    <t>Custody Fee</t>
  </si>
  <si>
    <t>TX003</t>
  </si>
  <si>
    <t>Dividend Income</t>
  </si>
  <si>
    <t>TX004</t>
  </si>
  <si>
    <t>Bank Transfer</t>
  </si>
  <si>
    <t>TX005</t>
  </si>
  <si>
    <t>USD</t>
  </si>
  <si>
    <t>TX006</t>
  </si>
  <si>
    <t>TX007</t>
  </si>
  <si>
    <t>TX008</t>
  </si>
  <si>
    <t>Beta</t>
  </si>
  <si>
    <t>TX009</t>
  </si>
  <si>
    <t>TX010</t>
  </si>
  <si>
    <t>ALTER DOMUS FEES</t>
  </si>
  <si>
    <t>CUSTODY FEE</t>
  </si>
  <si>
    <t>DIVIDEND</t>
  </si>
  <si>
    <t>BANK TRANSFER</t>
  </si>
  <si>
    <t>MANAGEMENT FEE USD</t>
  </si>
  <si>
    <t>TX011</t>
  </si>
  <si>
    <t>BANK CHARGE</t>
  </si>
  <si>
    <t>Amount</t>
  </si>
  <si>
    <t>Ledger Amount (XLOOKUP)</t>
  </si>
  <si>
    <t>Ledger Account (VLOOKUP)</t>
  </si>
  <si>
    <t>Statut</t>
  </si>
  <si>
    <t>SOMME.SI.ENS</t>
  </si>
  <si>
    <t>Étiquettes de lignes</t>
  </si>
  <si>
    <t>Total général</t>
  </si>
  <si>
    <t>Étiquettes de colonnes</t>
  </si>
  <si>
    <t>Somme de Montant</t>
  </si>
  <si>
    <t>BREAK</t>
  </si>
  <si>
    <t>NON TROUVE</t>
  </si>
  <si>
    <t>OK</t>
  </si>
  <si>
    <t>Nombre de Transaction ID</t>
  </si>
  <si>
    <t>Frais?</t>
  </si>
  <si>
    <t>Yes</t>
  </si>
  <si>
    <t>Non trouvé</t>
  </si>
  <si>
    <t>Ecart</t>
  </si>
  <si>
    <t>Statut final</t>
  </si>
  <si>
    <t>ok</t>
  </si>
  <si>
    <t>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</si>
</sst>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9" xfId="0" applyBorder="1"/>
    <xf numFmtId="22" fontId="0" fillId="0" borderId="0" xfId="0" applyNumberFormat="1"/>
    <xf numFmtId="0" fontId="0" fillId="0" borderId="3" xfId="0" applyBorder="1"/>
    <xf numFmtId="0" fontId="1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tan Devillet" refreshedDate="46286.628639467592" createdVersion="8" refreshedVersion="8" minRefreshableVersion="3" recordCount="10" xr:uid="{D4CB7603-BB8F-4D69-A585-2E12F05808E7}">
  <cacheSource type="worksheet">
    <worksheetSource ref="A1:H11" sheet="Ledger"/>
  </cacheSource>
  <cacheFields count="8">
    <cacheField name="Transaction ID" numFmtId="0">
      <sharedItems/>
    </cacheField>
    <cacheField name="Date" numFmtId="14">
      <sharedItems containsSemiMixedTypes="0" containsNonDate="0" containsDate="1" containsString="0" minDate="2026-09-02T00:00:00" maxDate="2026-09-16T00:00:00"/>
    </cacheField>
    <cacheField name="Compte" numFmtId="0">
      <sharedItems containsSemiMixedTypes="0" containsString="0" containsNumber="1" containsInteger="1" minValue="550000" maxValue="751000" count="4">
        <n v="616000"/>
        <n v="616100"/>
        <n v="751000"/>
        <n v="550000"/>
      </sharedItems>
    </cacheField>
    <cacheField name="Description" numFmtId="0">
      <sharedItems count="4">
        <s v="Management Fee"/>
        <s v="Custody Fee"/>
        <s v="Dividend Income"/>
        <s v="Bank Transfer"/>
      </sharedItems>
    </cacheField>
    <cacheField name="Fonds" numFmtId="0">
      <sharedItems count="2">
        <s v="Alpha"/>
        <s v="Beta"/>
      </sharedItems>
    </cacheField>
    <cacheField name="Devise" numFmtId="0">
      <sharedItems count="2">
        <s v="EUR"/>
        <s v="USD"/>
      </sharedItems>
    </cacheField>
    <cacheField name="Montant" numFmtId="0">
      <sharedItems containsSemiMixedTypes="0" containsString="0" containsNumber="1" containsInteger="1" minValue="950" maxValue="8750"/>
    </cacheField>
    <cacheField name="SOMME.SI.ENS" numFmtId="0">
      <sharedItems containsString="0" containsBlank="1" containsNumber="1" containsInteger="1" minValue="1250" maxValue="2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tan Devillet" refreshedDate="46286.942775000003" createdVersion="8" refreshedVersion="8" minRefreshableVersion="3" recordCount="8" xr:uid="{A5DB3F60-CC3E-4966-AC41-D1C3E53B0810}">
  <cacheSource type="worksheet">
    <worksheetSource ref="A1:G9" sheet="Bank"/>
  </cacheSource>
  <cacheFields count="7">
    <cacheField name="Transaction ID" numFmtId="0">
      <sharedItems/>
    </cacheField>
    <cacheField name="Date" numFmtId="14">
      <sharedItems containsSemiMixedTypes="0" containsNonDate="0" containsDate="1" containsString="0" minDate="2026-09-02T00:00:00" maxDate="2026-09-17T00:00:00"/>
    </cacheField>
    <cacheField name="Description" numFmtId="0">
      <sharedItems/>
    </cacheField>
    <cacheField name="Amount" numFmtId="0">
      <sharedItems containsSemiMixedTypes="0" containsString="0" containsNumber="1" containsInteger="1" minValue="75" maxValue="8750" count="8">
        <n v="1250"/>
        <n v="3500"/>
        <n v="2050"/>
        <n v="8750"/>
        <n v="1800"/>
        <n v="1000"/>
        <n v="4200"/>
        <n v="75"/>
      </sharedItems>
    </cacheField>
    <cacheField name="Ledger Amount (XLOOKUP)" numFmtId="0">
      <sharedItems containsMixedTypes="1" containsNumber="1" containsInteger="1" minValue="950" maxValue="8750"/>
    </cacheField>
    <cacheField name="Ledger Account (VLOOKUP)" numFmtId="0">
      <sharedItems containsMixedTypes="1" containsNumber="1" containsInteger="1" minValue="550000" maxValue="751000"/>
    </cacheField>
    <cacheField name="Statut" numFmtId="0">
      <sharedItems count="3">
        <s v="OK"/>
        <s v="BREAK"/>
        <s v="NON TROU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TX001"/>
    <d v="2026-09-02T00:00:00"/>
    <x v="0"/>
    <x v="0"/>
    <x v="0"/>
    <x v="0"/>
    <n v="1250"/>
    <n v="1250"/>
  </r>
  <r>
    <s v="TX002"/>
    <d v="2026-09-03T00:00:00"/>
    <x v="1"/>
    <x v="1"/>
    <x v="0"/>
    <x v="0"/>
    <n v="3500"/>
    <n v="4450"/>
  </r>
  <r>
    <s v="TX003"/>
    <d v="2026-09-04T00:00:00"/>
    <x v="2"/>
    <x v="2"/>
    <x v="0"/>
    <x v="0"/>
    <n v="2050"/>
    <n v="20700"/>
  </r>
  <r>
    <s v="TX004"/>
    <d v="2026-09-05T00:00:00"/>
    <x v="3"/>
    <x v="3"/>
    <x v="0"/>
    <x v="0"/>
    <n v="8750"/>
    <n v="22500"/>
  </r>
  <r>
    <s v="TX005"/>
    <d v="2026-09-08T00:00:00"/>
    <x v="0"/>
    <x v="0"/>
    <x v="0"/>
    <x v="1"/>
    <n v="1800"/>
    <m/>
  </r>
  <r>
    <s v="TX006"/>
    <d v="2026-09-09T00:00:00"/>
    <x v="1"/>
    <x v="1"/>
    <x v="0"/>
    <x v="0"/>
    <n v="950"/>
    <m/>
  </r>
  <r>
    <s v="TX007"/>
    <d v="2026-09-10T00:00:00"/>
    <x v="2"/>
    <x v="2"/>
    <x v="0"/>
    <x v="0"/>
    <n v="4200"/>
    <m/>
  </r>
  <r>
    <s v="TX008"/>
    <d v="2026-09-11T00:00:00"/>
    <x v="0"/>
    <x v="0"/>
    <x v="1"/>
    <x v="0"/>
    <n v="2100"/>
    <m/>
  </r>
  <r>
    <s v="TX009"/>
    <d v="2026-09-12T00:00:00"/>
    <x v="1"/>
    <x v="1"/>
    <x v="1"/>
    <x v="0"/>
    <n v="1800"/>
    <m/>
  </r>
  <r>
    <s v="TX010"/>
    <d v="2026-09-15T00:00:00"/>
    <x v="2"/>
    <x v="2"/>
    <x v="1"/>
    <x v="1"/>
    <n v="32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TX001"/>
    <d v="2026-09-02T00:00:00"/>
    <s v="ALTER DOMUS FEES"/>
    <x v="0"/>
    <n v="1250"/>
    <n v="616000"/>
    <x v="0"/>
  </r>
  <r>
    <s v="TX002"/>
    <d v="2026-09-03T00:00:00"/>
    <s v="CUSTODY FEE"/>
    <x v="1"/>
    <n v="3500"/>
    <n v="616100"/>
    <x v="0"/>
  </r>
  <r>
    <s v="TX003"/>
    <d v="2026-09-04T00:00:00"/>
    <s v="DIVIDEND"/>
    <x v="2"/>
    <n v="2050"/>
    <n v="751000"/>
    <x v="0"/>
  </r>
  <r>
    <s v="TX004"/>
    <d v="2026-09-05T00:00:00"/>
    <s v="BANK TRANSFER"/>
    <x v="3"/>
    <n v="8750"/>
    <n v="550000"/>
    <x v="0"/>
  </r>
  <r>
    <s v="TX005"/>
    <d v="2026-09-08T00:00:00"/>
    <s v="MANAGEMENT FEE USD"/>
    <x v="4"/>
    <n v="1800"/>
    <n v="616000"/>
    <x v="0"/>
  </r>
  <r>
    <s v="TX006"/>
    <d v="2026-09-09T00:00:00"/>
    <s v="CUSTODY FEE"/>
    <x v="5"/>
    <n v="950"/>
    <n v="616100"/>
    <x v="1"/>
  </r>
  <r>
    <s v="TX007"/>
    <d v="2026-09-10T00:00:00"/>
    <s v="DIVIDEND"/>
    <x v="6"/>
    <n v="4200"/>
    <n v="751000"/>
    <x v="0"/>
  </r>
  <r>
    <s v="TX011"/>
    <d v="2026-09-16T00:00:00"/>
    <s v="BANK CHARGE"/>
    <x v="7"/>
    <s v="Non trouvé"/>
    <s v="Non trouvé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E3753-A5B0-4C43-B7A5-7B4663AF526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4" firstHeaderRow="1" firstDataRow="2" firstDataCol="1"/>
  <pivotFields count="8">
    <pivotField showAll="0"/>
    <pivotField numFmtId="14"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4"/>
    <field x="2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omme de Montant" fld="6" baseField="0" baseItem="0"/>
  </dataFields>
  <formats count="1">
    <format dxfId="33">
      <pivotArea dataOnly="0" labelOnly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667C7-24EF-4668-A0E8-2EADC5D931F4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dataField="1" showAll="0"/>
    <pivotField numFmtId="14" showAll="0"/>
    <pivotField showAll="0"/>
    <pivotField showAll="0">
      <items count="9">
        <item x="7"/>
        <item x="5"/>
        <item x="0"/>
        <item x="4"/>
        <item x="2"/>
        <item x="1"/>
        <item x="6"/>
        <item x="3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331F5B0-D166-4981-A75A-96D920D4EFD0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 ID" tableColumnId="1"/>
      <queryTableField id="2" name="Date" tableColumnId="2"/>
      <queryTableField id="3" name="Compte" tableColumnId="3"/>
      <queryTableField id="4" name="Description" tableColumnId="4"/>
      <queryTableField id="5" name="Fonds" tableColumnId="5"/>
      <queryTableField id="6" name="Devise" tableColumnId="6"/>
      <queryTableField id="7" name="Montant" tableColumnId="7"/>
      <queryTableField id="8" name="Frais?" tableColumnId="8"/>
      <queryTableField id="9" name="Amount" tableColumnId="9"/>
      <queryTableField id="10" name="Statut" tableColumnId="10"/>
      <queryTableField id="11" name="Ecart" tableColumnId="11"/>
      <queryTableField id="12" name="Statut fina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9103141-4DD7-4836-AF6F-7E02E05B3383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 ID" tableColumnId="1"/>
      <queryTableField id="2" name="Date" tableColumnId="2"/>
      <queryTableField id="3" name="Description" tableColumnId="3"/>
      <queryTableField id="4" name="Amount" tableColumnId="4"/>
      <queryTableField id="5" name="Ledger Amount (XLOOKUP)" tableColumnId="5"/>
      <queryTableField id="6" name="Ledger Account (VLOOKUP)" tableColumnId="6"/>
      <queryTableField id="7" name="Statu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1805BF-FF89-4B94-BB06-747517BB03D5}" name="Tableau1_1" displayName="Tableau1_1" ref="A1:L5" tableType="queryTable" totalsRowShown="0">
  <autoFilter ref="A1:L5" xr:uid="{7F1805BF-FF89-4B94-BB06-747517BB03D5}"/>
  <tableColumns count="12">
    <tableColumn id="1" xr3:uid="{7B2801CD-A169-4B2F-B781-506B4CA9BE5C}" uniqueName="1" name="Transaction ID" queryTableFieldId="1" dataDxfId="5"/>
    <tableColumn id="2" xr3:uid="{BCE1F12D-C645-4B93-A318-7D199AAC4368}" uniqueName="2" name="Date" queryTableFieldId="2" dataDxfId="4"/>
    <tableColumn id="3" xr3:uid="{5A853464-DDC1-4247-80C7-C2E77B3D063A}" uniqueName="3" name="Compte" queryTableFieldId="3"/>
    <tableColumn id="4" xr3:uid="{DAE39CD6-5158-4572-A061-CE111A6D2CF2}" uniqueName="4" name="Description" queryTableFieldId="4" dataDxfId="3"/>
    <tableColumn id="5" xr3:uid="{8D7AB396-22EA-496F-A966-6680981519C1}" uniqueName="5" name="Fonds" queryTableFieldId="5" dataDxfId="2"/>
    <tableColumn id="6" xr3:uid="{B2445EB6-EB1C-41C5-BF4E-658B51CBD5A1}" uniqueName="6" name="Devise" queryTableFieldId="6" dataDxfId="1"/>
    <tableColumn id="7" xr3:uid="{A849AC85-99F1-4B4A-ACC4-E2C48FB2B5AA}" uniqueName="7" name="Montant" queryTableFieldId="7"/>
    <tableColumn id="8" xr3:uid="{B4FA6FD2-5BDC-4388-949A-9BF721B48D94}" uniqueName="8" name="Frais?" queryTableFieldId="8"/>
    <tableColumn id="9" xr3:uid="{A1B41428-1FF3-4ED2-83FE-DA57AB0EDB56}" uniqueName="9" name="Amount" queryTableFieldId="9"/>
    <tableColumn id="10" xr3:uid="{596D7C1D-B0AE-4DD4-8EA4-8D0D8A2AEDCF}" uniqueName="10" name="Statut" queryTableFieldId="10" dataDxfId="0"/>
    <tableColumn id="11" xr3:uid="{1CDC2EC0-8A9D-4C6F-A24C-3C08FFE1E51D}" uniqueName="11" name="Ecart" queryTableFieldId="11"/>
    <tableColumn id="12" xr3:uid="{7AE81954-287C-449F-9225-1BE193AA5D8F}" uniqueName="12" name="Statut final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0016C-D784-4C3D-94CD-784400108B4F}" name="Tableau1" displayName="Tableau1" ref="A1:G11" totalsRowShown="0" headerRowDxfId="21" dataDxfId="22" headerRowBorderDxfId="31" tableBorderDxfId="32" totalsRowBorderDxfId="30">
  <autoFilter ref="A1:G11" xr:uid="{CB50016C-D784-4C3D-94CD-784400108B4F}"/>
  <tableColumns count="7">
    <tableColumn id="1" xr3:uid="{0399A8A5-7F85-4341-9257-30A1376A83EF}" name="Transaction ID" dataDxfId="29"/>
    <tableColumn id="2" xr3:uid="{B154DCC7-3FCE-43E6-922A-DB0EA6DB2D73}" name="Date" dataDxfId="28"/>
    <tableColumn id="3" xr3:uid="{2D5A6D5D-5871-4335-BEE3-8F676C5CED9F}" name="Compte" dataDxfId="27"/>
    <tableColumn id="4" xr3:uid="{B5A75FFF-5BD6-429A-9FA6-3043634BA043}" name="Description" dataDxfId="26"/>
    <tableColumn id="5" xr3:uid="{217C8163-5C6D-40DA-96E5-7159C809ECA0}" name="Fonds" dataDxfId="25"/>
    <tableColumn id="6" xr3:uid="{8EA78159-5C5D-4073-9929-73832ECF2AB8}" name="Devise" dataDxfId="24"/>
    <tableColumn id="7" xr3:uid="{CBD670F3-108B-4C73-B606-24F32D17BDD3}" name="Montant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BEBA36-CB51-4AA2-85E3-F9CB29555BC9}" name="Tableau3_1" displayName="Tableau3_1" ref="A1:G9" tableType="queryTable" totalsRowShown="0">
  <autoFilter ref="A1:G9" xr:uid="{DEBEBA36-CB51-4AA2-85E3-F9CB29555BC9}"/>
  <tableColumns count="7">
    <tableColumn id="1" xr3:uid="{30AF7C2B-9686-4329-A402-4E2EC418A983}" uniqueName="1" name="Transaction ID" queryTableFieldId="1" dataDxfId="9"/>
    <tableColumn id="2" xr3:uid="{40F46E66-9D34-461B-87C3-78FBA356EFE2}" uniqueName="2" name="Date" queryTableFieldId="2" dataDxfId="8"/>
    <tableColumn id="3" xr3:uid="{5B4EDF71-5D13-4EDC-889B-747E34BCFE99}" uniqueName="3" name="Description" queryTableFieldId="3" dataDxfId="7"/>
    <tableColumn id="4" xr3:uid="{26AED338-AE4D-4ABA-8332-98A67A515E65}" uniqueName="4" name="Amount" queryTableFieldId="4"/>
    <tableColumn id="5" xr3:uid="{E168E237-D0DF-4490-B55C-BFFF830169B0}" uniqueName="5" name="Ledger Amount (XLOOKUP)" queryTableFieldId="5"/>
    <tableColumn id="6" xr3:uid="{CC3D6922-23F7-4EBB-AB22-D12448FECE8B}" uniqueName="6" name="Ledger Account (VLOOKUP)" queryTableFieldId="6"/>
    <tableColumn id="7" xr3:uid="{A74E4AEE-B4F0-44D8-9629-1B9B798962F7}" uniqueName="7" name="Statut" queryTableFieldId="7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616CEE-33D7-47C7-A8C3-D3AB84FE1A11}" name="Tableau3" displayName="Tableau3" ref="A1:G9" totalsRowShown="0" headerRowDxfId="10" headerRowBorderDxfId="19" tableBorderDxfId="20" totalsRowBorderDxfId="18">
  <autoFilter ref="A1:G9" xr:uid="{9D616CEE-33D7-47C7-A8C3-D3AB84FE1A11}"/>
  <tableColumns count="7">
    <tableColumn id="1" xr3:uid="{35029A9A-6864-4ACD-90BB-E2EAE0D1BA02}" name="Transaction ID" dataDxfId="17"/>
    <tableColumn id="2" xr3:uid="{AA0194D8-93B4-47EF-AB26-DF3D79FD63F9}" name="Date" dataDxfId="16"/>
    <tableColumn id="3" xr3:uid="{9635CBE6-560A-4029-A12F-F5A188C664E1}" name="Description" dataDxfId="15"/>
    <tableColumn id="4" xr3:uid="{433D84C5-934D-459E-8FC4-D6BC7A9C4292}" name="Amount" dataDxfId="14"/>
    <tableColumn id="5" xr3:uid="{1D7D7472-8D48-4ECD-A57C-9C6CB58A7AFA}" name="Ledger Amount (XLOOKUP)" dataDxfId="13">
      <calculatedColumnFormula>+_xlfn.XLOOKUP(A2,Ledger!A:A,Ledger!G:G,"Non trouvé")</calculatedColumnFormula>
    </tableColumn>
    <tableColumn id="6" xr3:uid="{EB9D365A-27D9-4BE3-B18C-6A51D6D5A556}" name="Ledger Account (VLOOKUP)" dataDxfId="12">
      <calculatedColumnFormula>+IFERROR(VLOOKUP(A2,Ledger!A:C,3,FALSE),"Non trouvé")</calculatedColumnFormula>
    </tableColumn>
    <tableColumn id="7" xr3:uid="{D32DA92A-5FC0-44E7-AFF8-DB8AEE74549B}" name="Statut" dataDxfId="11">
      <calculatedColumnFormula>+IF(E2="Non trouvé","NON TROUVE",IF(D2=E2,"OK","BREAK"))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E806-2242-4FF8-8C76-C226DE8B72CD}">
  <dimension ref="A1:L5"/>
  <sheetViews>
    <sheetView tabSelected="1" workbookViewId="0">
      <selection activeCell="N8" sqref="N8"/>
    </sheetView>
  </sheetViews>
  <sheetFormatPr baseColWidth="10" defaultRowHeight="14.4" x14ac:dyDescent="0.3"/>
  <cols>
    <col min="1" max="1" width="15" bestFit="1" customWidth="1"/>
    <col min="2" max="2" width="13.21875" bestFit="1" customWidth="1"/>
    <col min="3" max="3" width="9.88671875" bestFit="1" customWidth="1"/>
    <col min="4" max="4" width="14.77734375" bestFit="1" customWidth="1"/>
    <col min="5" max="5" width="8.21875" bestFit="1" customWidth="1"/>
    <col min="6" max="6" width="8.77734375" bestFit="1" customWidth="1"/>
    <col min="7" max="7" width="10" bestFit="1" customWidth="1"/>
    <col min="8" max="8" width="8.21875" bestFit="1" customWidth="1"/>
    <col min="9" max="9" width="9.6640625" bestFit="1" customWidth="1"/>
    <col min="10" max="10" width="8.33203125" bestFit="1" customWidth="1"/>
    <col min="11" max="11" width="7.5546875" bestFit="1" customWidth="1"/>
    <col min="12" max="12" width="12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</v>
      </c>
      <c r="I1" t="s">
        <v>32</v>
      </c>
      <c r="J1" t="s">
        <v>35</v>
      </c>
      <c r="K1" t="s">
        <v>48</v>
      </c>
      <c r="L1" t="s">
        <v>49</v>
      </c>
    </row>
    <row r="2" spans="1:12" x14ac:dyDescent="0.3">
      <c r="A2" s="12" t="s">
        <v>11</v>
      </c>
      <c r="B2" s="25">
        <v>46268</v>
      </c>
      <c r="C2">
        <v>616100</v>
      </c>
      <c r="D2" s="12" t="s">
        <v>12</v>
      </c>
      <c r="E2" s="12" t="s">
        <v>9</v>
      </c>
      <c r="F2" s="12" t="s">
        <v>10</v>
      </c>
      <c r="G2">
        <v>3500</v>
      </c>
      <c r="H2" t="s">
        <v>46</v>
      </c>
      <c r="I2">
        <v>3500</v>
      </c>
      <c r="J2" s="12" t="s">
        <v>43</v>
      </c>
      <c r="K2">
        <v>0</v>
      </c>
      <c r="L2" t="s">
        <v>50</v>
      </c>
    </row>
    <row r="3" spans="1:12" x14ac:dyDescent="0.3">
      <c r="A3" s="12" t="s">
        <v>17</v>
      </c>
      <c r="B3" s="25">
        <v>46273</v>
      </c>
      <c r="C3">
        <v>616000</v>
      </c>
      <c r="D3" s="12" t="s">
        <v>8</v>
      </c>
      <c r="E3" s="12" t="s">
        <v>9</v>
      </c>
      <c r="F3" s="12" t="s">
        <v>18</v>
      </c>
      <c r="G3">
        <v>1800</v>
      </c>
      <c r="H3" t="s">
        <v>46</v>
      </c>
      <c r="I3">
        <v>1800</v>
      </c>
      <c r="J3" s="12" t="s">
        <v>43</v>
      </c>
      <c r="K3">
        <v>0</v>
      </c>
      <c r="L3" t="s">
        <v>50</v>
      </c>
    </row>
    <row r="4" spans="1:12" x14ac:dyDescent="0.3">
      <c r="A4" s="12" t="s">
        <v>7</v>
      </c>
      <c r="B4" s="25">
        <v>46267</v>
      </c>
      <c r="C4">
        <v>616000</v>
      </c>
      <c r="D4" s="12" t="s">
        <v>8</v>
      </c>
      <c r="E4" s="12" t="s">
        <v>9</v>
      </c>
      <c r="F4" s="12" t="s">
        <v>10</v>
      </c>
      <c r="G4">
        <v>1250</v>
      </c>
      <c r="H4" t="s">
        <v>46</v>
      </c>
      <c r="I4">
        <v>1250</v>
      </c>
      <c r="J4" s="12" t="s">
        <v>43</v>
      </c>
      <c r="K4">
        <v>0</v>
      </c>
      <c r="L4" t="s">
        <v>50</v>
      </c>
    </row>
    <row r="5" spans="1:12" x14ac:dyDescent="0.3">
      <c r="A5" s="12" t="s">
        <v>19</v>
      </c>
      <c r="B5" s="25">
        <v>46274</v>
      </c>
      <c r="C5">
        <v>616100</v>
      </c>
      <c r="D5" s="12" t="s">
        <v>12</v>
      </c>
      <c r="E5" s="12" t="s">
        <v>9</v>
      </c>
      <c r="F5" s="12" t="s">
        <v>10</v>
      </c>
      <c r="G5">
        <v>950</v>
      </c>
      <c r="H5" t="s">
        <v>46</v>
      </c>
      <c r="I5">
        <v>1000</v>
      </c>
      <c r="J5" s="12" t="s">
        <v>41</v>
      </c>
      <c r="K5">
        <v>50</v>
      </c>
      <c r="L5" t="s">
        <v>51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CB2F-22A1-4146-A84C-38CB30470ABA}">
  <dimension ref="A1:H11"/>
  <sheetViews>
    <sheetView workbookViewId="0">
      <selection sqref="A1:G11"/>
    </sheetView>
  </sheetViews>
  <sheetFormatPr baseColWidth="10" defaultRowHeight="14.4" x14ac:dyDescent="0.3"/>
  <cols>
    <col min="1" max="1" width="14.6640625" customWidth="1"/>
    <col min="4" max="4" width="12.5546875" customWidth="1"/>
    <col min="8" max="8" width="13.109375" bestFit="1" customWidth="1"/>
  </cols>
  <sheetData>
    <row r="1" spans="1:8" ht="28.8" x14ac:dyDescent="0.3">
      <c r="A1" s="15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7" t="s">
        <v>36</v>
      </c>
    </row>
    <row r="2" spans="1:8" ht="28.8" x14ac:dyDescent="0.3">
      <c r="A2" s="13" t="s">
        <v>7</v>
      </c>
      <c r="B2" s="2">
        <v>46267</v>
      </c>
      <c r="C2" s="3">
        <v>616000</v>
      </c>
      <c r="D2" s="1" t="s">
        <v>8</v>
      </c>
      <c r="E2" s="1" t="s">
        <v>9</v>
      </c>
      <c r="F2" s="1" t="s">
        <v>10</v>
      </c>
      <c r="G2" s="14">
        <v>1250</v>
      </c>
      <c r="H2" s="8">
        <f>+SUMIFS(G:G,D:D,"Management Fee",E:E,"Alpha",F:F,"EUR")</f>
        <v>1250</v>
      </c>
    </row>
    <row r="3" spans="1:8" x14ac:dyDescent="0.3">
      <c r="A3" s="13" t="s">
        <v>11</v>
      </c>
      <c r="B3" s="2">
        <v>46268</v>
      </c>
      <c r="C3" s="3">
        <v>616100</v>
      </c>
      <c r="D3" s="1" t="s">
        <v>12</v>
      </c>
      <c r="E3" s="1" t="s">
        <v>9</v>
      </c>
      <c r="F3" s="1" t="s">
        <v>10</v>
      </c>
      <c r="G3" s="14">
        <v>3500</v>
      </c>
      <c r="H3" s="8">
        <f>+SUMIFS(G:G,D:D,"Custody Fee",E:E,"Alpha",F:F,"EUR")</f>
        <v>4450</v>
      </c>
    </row>
    <row r="4" spans="1:8" ht="28.8" x14ac:dyDescent="0.3">
      <c r="A4" s="13" t="s">
        <v>13</v>
      </c>
      <c r="B4" s="2">
        <v>46269</v>
      </c>
      <c r="C4" s="3">
        <v>751000</v>
      </c>
      <c r="D4" s="1" t="s">
        <v>14</v>
      </c>
      <c r="E4" s="1" t="s">
        <v>9</v>
      </c>
      <c r="F4" s="1" t="s">
        <v>10</v>
      </c>
      <c r="G4" s="14">
        <v>2050</v>
      </c>
      <c r="H4" s="8">
        <f>+SUMIFS(G:G,E:E,"Alpha",F:F,"EUR")</f>
        <v>20700</v>
      </c>
    </row>
    <row r="5" spans="1:8" ht="28.8" x14ac:dyDescent="0.3">
      <c r="A5" s="13" t="s">
        <v>15</v>
      </c>
      <c r="B5" s="2">
        <v>46270</v>
      </c>
      <c r="C5" s="3">
        <v>550000</v>
      </c>
      <c r="D5" s="1" t="s">
        <v>16</v>
      </c>
      <c r="E5" s="1" t="s">
        <v>9</v>
      </c>
      <c r="F5" s="1" t="s">
        <v>10</v>
      </c>
      <c r="G5" s="14">
        <v>8750</v>
      </c>
      <c r="H5" s="8">
        <f>+SUMIFS(G:G,E:E,"Alpha")</f>
        <v>22500</v>
      </c>
    </row>
    <row r="6" spans="1:8" ht="28.8" x14ac:dyDescent="0.3">
      <c r="A6" s="13" t="s">
        <v>17</v>
      </c>
      <c r="B6" s="2">
        <v>46273</v>
      </c>
      <c r="C6" s="3">
        <v>616000</v>
      </c>
      <c r="D6" s="1" t="s">
        <v>8</v>
      </c>
      <c r="E6" s="1" t="s">
        <v>9</v>
      </c>
      <c r="F6" s="1" t="s">
        <v>18</v>
      </c>
      <c r="G6" s="14">
        <v>1800</v>
      </c>
    </row>
    <row r="7" spans="1:8" x14ac:dyDescent="0.3">
      <c r="A7" s="13" t="s">
        <v>19</v>
      </c>
      <c r="B7" s="2">
        <v>46274</v>
      </c>
      <c r="C7" s="3">
        <v>616100</v>
      </c>
      <c r="D7" s="1" t="s">
        <v>12</v>
      </c>
      <c r="E7" s="1" t="s">
        <v>9</v>
      </c>
      <c r="F7" s="1" t="s">
        <v>10</v>
      </c>
      <c r="G7" s="14">
        <v>950</v>
      </c>
    </row>
    <row r="8" spans="1:8" ht="28.8" x14ac:dyDescent="0.3">
      <c r="A8" s="13" t="s">
        <v>20</v>
      </c>
      <c r="B8" s="2">
        <v>46275</v>
      </c>
      <c r="C8" s="3">
        <v>751000</v>
      </c>
      <c r="D8" s="1" t="s">
        <v>14</v>
      </c>
      <c r="E8" s="1" t="s">
        <v>9</v>
      </c>
      <c r="F8" s="1" t="s">
        <v>10</v>
      </c>
      <c r="G8" s="14">
        <v>4200</v>
      </c>
    </row>
    <row r="9" spans="1:8" ht="28.8" x14ac:dyDescent="0.3">
      <c r="A9" s="13" t="s">
        <v>21</v>
      </c>
      <c r="B9" s="2">
        <v>46276</v>
      </c>
      <c r="C9" s="3">
        <v>616000</v>
      </c>
      <c r="D9" s="1" t="s">
        <v>8</v>
      </c>
      <c r="E9" s="1" t="s">
        <v>22</v>
      </c>
      <c r="F9" s="1" t="s">
        <v>10</v>
      </c>
      <c r="G9" s="14">
        <v>2100</v>
      </c>
    </row>
    <row r="10" spans="1:8" x14ac:dyDescent="0.3">
      <c r="A10" s="13" t="s">
        <v>23</v>
      </c>
      <c r="B10" s="2">
        <v>46277</v>
      </c>
      <c r="C10" s="3">
        <v>616100</v>
      </c>
      <c r="D10" s="1" t="s">
        <v>12</v>
      </c>
      <c r="E10" s="1" t="s">
        <v>22</v>
      </c>
      <c r="F10" s="1" t="s">
        <v>10</v>
      </c>
      <c r="G10" s="14">
        <v>1800</v>
      </c>
    </row>
    <row r="11" spans="1:8" ht="28.8" x14ac:dyDescent="0.3">
      <c r="A11" s="19" t="s">
        <v>24</v>
      </c>
      <c r="B11" s="20">
        <v>46280</v>
      </c>
      <c r="C11" s="21">
        <v>751000</v>
      </c>
      <c r="D11" s="22" t="s">
        <v>14</v>
      </c>
      <c r="E11" s="22" t="s">
        <v>22</v>
      </c>
      <c r="F11" s="22" t="s">
        <v>18</v>
      </c>
      <c r="G11" s="23">
        <v>3200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5A73-8D30-42B1-9159-D4911CA912FB}">
  <dimension ref="A3:D14"/>
  <sheetViews>
    <sheetView workbookViewId="0">
      <selection activeCell="A5" sqref="A5"/>
    </sheetView>
  </sheetViews>
  <sheetFormatPr baseColWidth="10" defaultRowHeight="14.4" x14ac:dyDescent="0.3"/>
  <cols>
    <col min="1" max="1" width="19.5546875" bestFit="1" customWidth="1"/>
    <col min="2" max="2" width="22.109375" bestFit="1" customWidth="1"/>
    <col min="3" max="3" width="5" bestFit="1" customWidth="1"/>
    <col min="4" max="4" width="11.5546875" bestFit="1" customWidth="1"/>
    <col min="5" max="5" width="5" bestFit="1" customWidth="1"/>
    <col min="6" max="6" width="11.44140625" bestFit="1" customWidth="1"/>
    <col min="7" max="7" width="8.6640625" bestFit="1" customWidth="1"/>
    <col min="8" max="8" width="5" bestFit="1" customWidth="1"/>
    <col min="9" max="9" width="11.44140625" bestFit="1" customWidth="1"/>
    <col min="10" max="10" width="8.6640625" bestFit="1" customWidth="1"/>
    <col min="11" max="11" width="5" bestFit="1" customWidth="1"/>
    <col min="12" max="12" width="11.44140625" bestFit="1" customWidth="1"/>
  </cols>
  <sheetData>
    <row r="3" spans="1:4" x14ac:dyDescent="0.3">
      <c r="A3" s="9" t="s">
        <v>40</v>
      </c>
      <c r="B3" s="9" t="s">
        <v>39</v>
      </c>
    </row>
    <row r="4" spans="1:4" x14ac:dyDescent="0.3">
      <c r="A4" s="9" t="s">
        <v>37</v>
      </c>
      <c r="B4" t="s">
        <v>10</v>
      </c>
      <c r="C4" t="s">
        <v>18</v>
      </c>
      <c r="D4" t="s">
        <v>38</v>
      </c>
    </row>
    <row r="5" spans="1:4" x14ac:dyDescent="0.3">
      <c r="A5" s="10" t="s">
        <v>9</v>
      </c>
      <c r="B5" s="12">
        <v>20700</v>
      </c>
      <c r="C5" s="12">
        <v>1800</v>
      </c>
      <c r="D5" s="12">
        <v>22500</v>
      </c>
    </row>
    <row r="6" spans="1:4" x14ac:dyDescent="0.3">
      <c r="A6" s="11">
        <v>550000</v>
      </c>
      <c r="B6" s="12">
        <v>8750</v>
      </c>
      <c r="C6" s="12"/>
      <c r="D6" s="12">
        <v>8750</v>
      </c>
    </row>
    <row r="7" spans="1:4" x14ac:dyDescent="0.3">
      <c r="A7" s="11">
        <v>616000</v>
      </c>
      <c r="B7" s="12">
        <v>1250</v>
      </c>
      <c r="C7" s="12">
        <v>1800</v>
      </c>
      <c r="D7" s="12">
        <v>3050</v>
      </c>
    </row>
    <row r="8" spans="1:4" x14ac:dyDescent="0.3">
      <c r="A8" s="11">
        <v>616100</v>
      </c>
      <c r="B8" s="12">
        <v>4450</v>
      </c>
      <c r="C8" s="12"/>
      <c r="D8" s="12">
        <v>4450</v>
      </c>
    </row>
    <row r="9" spans="1:4" x14ac:dyDescent="0.3">
      <c r="A9" s="11">
        <v>751000</v>
      </c>
      <c r="B9" s="12">
        <v>6250</v>
      </c>
      <c r="C9" s="12"/>
      <c r="D9" s="12">
        <v>6250</v>
      </c>
    </row>
    <row r="10" spans="1:4" x14ac:dyDescent="0.3">
      <c r="A10" s="10" t="s">
        <v>22</v>
      </c>
      <c r="B10" s="12">
        <v>3900</v>
      </c>
      <c r="C10" s="12">
        <v>3200</v>
      </c>
      <c r="D10" s="12">
        <v>7100</v>
      </c>
    </row>
    <row r="11" spans="1:4" x14ac:dyDescent="0.3">
      <c r="A11" s="11">
        <v>616000</v>
      </c>
      <c r="B11" s="12">
        <v>2100</v>
      </c>
      <c r="C11" s="12"/>
      <c r="D11" s="12">
        <v>2100</v>
      </c>
    </row>
    <row r="12" spans="1:4" x14ac:dyDescent="0.3">
      <c r="A12" s="11">
        <v>616100</v>
      </c>
      <c r="B12" s="12">
        <v>1800</v>
      </c>
      <c r="C12" s="12"/>
      <c r="D12" s="12">
        <v>1800</v>
      </c>
    </row>
    <row r="13" spans="1:4" x14ac:dyDescent="0.3">
      <c r="A13" s="11">
        <v>751000</v>
      </c>
      <c r="B13" s="12"/>
      <c r="C13" s="12">
        <v>3200</v>
      </c>
      <c r="D13" s="12">
        <v>3200</v>
      </c>
    </row>
    <row r="14" spans="1:4" x14ac:dyDescent="0.3">
      <c r="A14" s="10" t="s">
        <v>38</v>
      </c>
      <c r="B14" s="12">
        <v>24600</v>
      </c>
      <c r="C14" s="12">
        <v>5000</v>
      </c>
      <c r="D14" s="12">
        <v>29600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9FFC-CA99-4210-8A1E-CE7C54F7DEAD}">
  <dimension ref="A1:G9"/>
  <sheetViews>
    <sheetView workbookViewId="0">
      <selection sqref="A1:G9"/>
    </sheetView>
  </sheetViews>
  <sheetFormatPr baseColWidth="10" defaultRowHeight="14.4" x14ac:dyDescent="0.3"/>
  <cols>
    <col min="1" max="1" width="15" bestFit="1" customWidth="1"/>
    <col min="2" max="2" width="13.21875" bestFit="1" customWidth="1"/>
    <col min="3" max="3" width="20.21875" bestFit="1" customWidth="1"/>
    <col min="4" max="4" width="9.6640625" bestFit="1" customWidth="1"/>
    <col min="5" max="5" width="25.5546875" bestFit="1" customWidth="1"/>
    <col min="6" max="6" width="25.8867187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s="12" t="s">
        <v>7</v>
      </c>
      <c r="B2" s="25">
        <v>46267</v>
      </c>
      <c r="C2" s="12" t="s">
        <v>25</v>
      </c>
      <c r="D2">
        <v>1250</v>
      </c>
      <c r="E2">
        <v>1250</v>
      </c>
      <c r="F2">
        <v>616000</v>
      </c>
      <c r="G2" s="12" t="s">
        <v>43</v>
      </c>
    </row>
    <row r="3" spans="1:7" x14ac:dyDescent="0.3">
      <c r="A3" s="12" t="s">
        <v>11</v>
      </c>
      <c r="B3" s="25">
        <v>46268</v>
      </c>
      <c r="C3" s="12" t="s">
        <v>26</v>
      </c>
      <c r="D3">
        <v>3500</v>
      </c>
      <c r="E3">
        <v>3500</v>
      </c>
      <c r="F3">
        <v>616100</v>
      </c>
      <c r="G3" s="12" t="s">
        <v>43</v>
      </c>
    </row>
    <row r="4" spans="1:7" x14ac:dyDescent="0.3">
      <c r="A4" s="12" t="s">
        <v>13</v>
      </c>
      <c r="B4" s="25">
        <v>46269</v>
      </c>
      <c r="C4" s="12" t="s">
        <v>27</v>
      </c>
      <c r="D4">
        <v>2050</v>
      </c>
      <c r="E4">
        <v>2050</v>
      </c>
      <c r="F4">
        <v>751000</v>
      </c>
      <c r="G4" s="12" t="s">
        <v>43</v>
      </c>
    </row>
    <row r="5" spans="1:7" x14ac:dyDescent="0.3">
      <c r="A5" s="12" t="s">
        <v>15</v>
      </c>
      <c r="B5" s="25">
        <v>46270</v>
      </c>
      <c r="C5" s="12" t="s">
        <v>28</v>
      </c>
      <c r="D5">
        <v>8750</v>
      </c>
      <c r="E5">
        <v>8750</v>
      </c>
      <c r="F5">
        <v>550000</v>
      </c>
      <c r="G5" s="12" t="s">
        <v>43</v>
      </c>
    </row>
    <row r="6" spans="1:7" x14ac:dyDescent="0.3">
      <c r="A6" s="12" t="s">
        <v>17</v>
      </c>
      <c r="B6" s="25">
        <v>46273</v>
      </c>
      <c r="C6" s="12" t="s">
        <v>29</v>
      </c>
      <c r="D6">
        <v>1800</v>
      </c>
      <c r="E6">
        <v>1800</v>
      </c>
      <c r="F6">
        <v>616000</v>
      </c>
      <c r="G6" s="12" t="s">
        <v>43</v>
      </c>
    </row>
    <row r="7" spans="1:7" x14ac:dyDescent="0.3">
      <c r="A7" s="12" t="s">
        <v>19</v>
      </c>
      <c r="B7" s="25">
        <v>46274</v>
      </c>
      <c r="C7" s="12" t="s">
        <v>26</v>
      </c>
      <c r="D7">
        <v>1000</v>
      </c>
      <c r="E7">
        <v>950</v>
      </c>
      <c r="F7">
        <v>616100</v>
      </c>
      <c r="G7" s="12" t="s">
        <v>41</v>
      </c>
    </row>
    <row r="8" spans="1:7" x14ac:dyDescent="0.3">
      <c r="A8" s="12" t="s">
        <v>20</v>
      </c>
      <c r="B8" s="25">
        <v>46275</v>
      </c>
      <c r="C8" s="12" t="s">
        <v>27</v>
      </c>
      <c r="D8">
        <v>4200</v>
      </c>
      <c r="E8">
        <v>4200</v>
      </c>
      <c r="F8">
        <v>751000</v>
      </c>
      <c r="G8" s="12" t="s">
        <v>43</v>
      </c>
    </row>
    <row r="9" spans="1:7" x14ac:dyDescent="0.3">
      <c r="A9" s="12" t="s">
        <v>30</v>
      </c>
      <c r="B9" s="25">
        <v>46281</v>
      </c>
      <c r="C9" s="12" t="s">
        <v>31</v>
      </c>
      <c r="D9">
        <v>75</v>
      </c>
      <c r="E9" t="s">
        <v>47</v>
      </c>
      <c r="F9" t="s">
        <v>47</v>
      </c>
      <c r="G9" s="12" t="s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1E5D-B0AB-4DB3-A361-D0CB071D1F1F}">
  <dimension ref="A1:H9"/>
  <sheetViews>
    <sheetView workbookViewId="0">
      <selection sqref="A1:G9"/>
    </sheetView>
  </sheetViews>
  <sheetFormatPr baseColWidth="10" defaultRowHeight="14.4" x14ac:dyDescent="0.3"/>
  <cols>
    <col min="1" max="1" width="14.6640625" customWidth="1"/>
    <col min="2" max="2" width="15" customWidth="1"/>
    <col min="3" max="3" width="39" customWidth="1"/>
    <col min="4" max="4" width="15.88671875" customWidth="1"/>
    <col min="5" max="5" width="25" style="6" customWidth="1"/>
    <col min="6" max="6" width="25.33203125" customWidth="1"/>
  </cols>
  <sheetData>
    <row r="1" spans="1:8" ht="43.2" x14ac:dyDescent="0.3">
      <c r="A1" s="15" t="s">
        <v>0</v>
      </c>
      <c r="B1" s="16" t="s">
        <v>1</v>
      </c>
      <c r="C1" s="16" t="s">
        <v>3</v>
      </c>
      <c r="D1" s="16" t="s">
        <v>32</v>
      </c>
      <c r="E1" s="16" t="s">
        <v>33</v>
      </c>
      <c r="F1" s="16" t="s">
        <v>34</v>
      </c>
      <c r="G1" s="27" t="s">
        <v>35</v>
      </c>
    </row>
    <row r="2" spans="1:8" x14ac:dyDescent="0.3">
      <c r="A2" s="13" t="s">
        <v>7</v>
      </c>
      <c r="B2" s="2">
        <v>46267</v>
      </c>
      <c r="C2" s="1" t="s">
        <v>25</v>
      </c>
      <c r="D2" s="3">
        <v>1250</v>
      </c>
      <c r="E2" s="5">
        <f>+_xlfn.XLOOKUP(A2,Ledger!A:A,Ledger!G:G,"Non trouvé")</f>
        <v>1250</v>
      </c>
      <c r="F2" s="4">
        <f>+IFERROR(VLOOKUP(A2,Ledger!A:C,3,FALSE),"Non trouvé")</f>
        <v>616000</v>
      </c>
      <c r="G2" s="26" t="str">
        <f>+IF(E2="Non trouvé","NON TROUVE",IF(D2=E2,"OK","BREAK"))</f>
        <v>OK</v>
      </c>
      <c r="H2">
        <f>+_xlfn.XLOOKUP(A2,Ledger!A:A,Ledger!G:G,"non trouvé")</f>
        <v>1250</v>
      </c>
    </row>
    <row r="3" spans="1:8" x14ac:dyDescent="0.3">
      <c r="A3" s="13" t="s">
        <v>11</v>
      </c>
      <c r="B3" s="2">
        <v>46268</v>
      </c>
      <c r="C3" s="1" t="s">
        <v>26</v>
      </c>
      <c r="D3" s="3">
        <v>3500</v>
      </c>
      <c r="E3" s="5">
        <f>+_xlfn.XLOOKUP(A3,Ledger!A:A,Ledger!G:G,"Non trouvé")</f>
        <v>3500</v>
      </c>
      <c r="F3" s="4">
        <f>+IFERROR(VLOOKUP(A3,Ledger!A:C,3,FALSE),"Non trouvé")</f>
        <v>616100</v>
      </c>
      <c r="G3" s="26" t="str">
        <f t="shared" ref="G3:G9" si="0">+IF(E3="Non trouvé","NON TROUVE",IF(D3=E3,"OK","BREAK"))</f>
        <v>OK</v>
      </c>
      <c r="H3">
        <f>+_xlfn.XLOOKUP(A3,Ledger!A:A,Ledger!G:G,"non trouvé")</f>
        <v>3500</v>
      </c>
    </row>
    <row r="4" spans="1:8" x14ac:dyDescent="0.3">
      <c r="A4" s="13" t="s">
        <v>13</v>
      </c>
      <c r="B4" s="2">
        <v>46269</v>
      </c>
      <c r="C4" s="1" t="s">
        <v>27</v>
      </c>
      <c r="D4" s="3">
        <v>2050</v>
      </c>
      <c r="E4" s="5">
        <f>+_xlfn.XLOOKUP(A4,Ledger!A:A,Ledger!G:G,"Non trouvé")</f>
        <v>2050</v>
      </c>
      <c r="F4" s="4">
        <f>+IFERROR(VLOOKUP(A4,Ledger!A:C,3,FALSE),"Non trouvé")</f>
        <v>751000</v>
      </c>
      <c r="G4" s="26" t="str">
        <f t="shared" si="0"/>
        <v>OK</v>
      </c>
      <c r="H4">
        <f>+_xlfn.XLOOKUP(A4,Ledger!A:A,Ledger!G:G,"non trouvé")</f>
        <v>2050</v>
      </c>
    </row>
    <row r="5" spans="1:8" x14ac:dyDescent="0.3">
      <c r="A5" s="13" t="s">
        <v>15</v>
      </c>
      <c r="B5" s="2">
        <v>46270</v>
      </c>
      <c r="C5" s="1" t="s">
        <v>28</v>
      </c>
      <c r="D5" s="3">
        <v>8750</v>
      </c>
      <c r="E5" s="5">
        <f>+_xlfn.XLOOKUP(A5,Ledger!A:A,Ledger!G:G,"Non trouvé")</f>
        <v>8750</v>
      </c>
      <c r="F5" s="4">
        <f>+IFERROR(VLOOKUP(A5,Ledger!A:C,3,FALSE),"Non trouvé")</f>
        <v>550000</v>
      </c>
      <c r="G5" s="26" t="str">
        <f t="shared" si="0"/>
        <v>OK</v>
      </c>
      <c r="H5">
        <f>+_xlfn.XLOOKUP(A5,Ledger!A:A,Ledger!G:G,"non trouvé")</f>
        <v>8750</v>
      </c>
    </row>
    <row r="6" spans="1:8" x14ac:dyDescent="0.3">
      <c r="A6" s="13" t="s">
        <v>17</v>
      </c>
      <c r="B6" s="2">
        <v>46273</v>
      </c>
      <c r="C6" s="1" t="s">
        <v>29</v>
      </c>
      <c r="D6" s="3">
        <v>1800</v>
      </c>
      <c r="E6" s="5">
        <f>+_xlfn.XLOOKUP(A6,Ledger!A:A,Ledger!G:G,"Non trouvé")</f>
        <v>1800</v>
      </c>
      <c r="F6" s="4">
        <f>+IFERROR(VLOOKUP(A6,Ledger!A:C,3,FALSE),"Non trouvé")</f>
        <v>616000</v>
      </c>
      <c r="G6" s="26" t="str">
        <f t="shared" si="0"/>
        <v>OK</v>
      </c>
      <c r="H6">
        <f>+_xlfn.XLOOKUP(A6,Ledger!A:A,Ledger!G:G,"non trouvé")</f>
        <v>1800</v>
      </c>
    </row>
    <row r="7" spans="1:8" x14ac:dyDescent="0.3">
      <c r="A7" s="13" t="s">
        <v>19</v>
      </c>
      <c r="B7" s="2">
        <v>46274</v>
      </c>
      <c r="C7" s="1" t="s">
        <v>26</v>
      </c>
      <c r="D7" s="3">
        <v>1000</v>
      </c>
      <c r="E7" s="5">
        <f>+_xlfn.XLOOKUP(A7,Ledger!A:A,Ledger!G:G,"Non trouvé")</f>
        <v>950</v>
      </c>
      <c r="F7" s="4">
        <f>+IFERROR(VLOOKUP(A7,Ledger!A:C,3,FALSE),"Non trouvé")</f>
        <v>616100</v>
      </c>
      <c r="G7" s="26" t="str">
        <f>+IF(E7="Non trouvé","NON TROUVE",IF(D7=E7,"OK","BREAK"))</f>
        <v>BREAK</v>
      </c>
      <c r="H7">
        <f>+_xlfn.XLOOKUP(A7,Ledger!A:A,Ledger!G:G,"non trouvé")</f>
        <v>950</v>
      </c>
    </row>
    <row r="8" spans="1:8" x14ac:dyDescent="0.3">
      <c r="A8" s="13" t="s">
        <v>20</v>
      </c>
      <c r="B8" s="2">
        <v>46275</v>
      </c>
      <c r="C8" s="1" t="s">
        <v>27</v>
      </c>
      <c r="D8" s="3">
        <v>4200</v>
      </c>
      <c r="E8" s="5">
        <f>+_xlfn.XLOOKUP(A8,Ledger!A:A,Ledger!G:G,"Non trouvé")</f>
        <v>4200</v>
      </c>
      <c r="F8" s="4">
        <f>+IFERROR(VLOOKUP(A8,Ledger!A:C,3,FALSE),"Non trouvé")</f>
        <v>751000</v>
      </c>
      <c r="G8" s="26" t="str">
        <f t="shared" si="0"/>
        <v>OK</v>
      </c>
      <c r="H8">
        <f>+_xlfn.XLOOKUP(A8,Ledger!A:A,Ledger!G:G,"non trouvé")</f>
        <v>4200</v>
      </c>
    </row>
    <row r="9" spans="1:8" x14ac:dyDescent="0.3">
      <c r="A9" s="19" t="s">
        <v>30</v>
      </c>
      <c r="B9" s="20">
        <v>46281</v>
      </c>
      <c r="C9" s="22" t="s">
        <v>31</v>
      </c>
      <c r="D9" s="21">
        <v>75</v>
      </c>
      <c r="E9" s="28" t="str">
        <f>+_xlfn.XLOOKUP(A9,Ledger!A:A,Ledger!G:G,"Non trouvé")</f>
        <v>Non trouvé</v>
      </c>
      <c r="F9" s="29" t="str">
        <f>+IFERROR(VLOOKUP(A9,Ledger!A:C,3,FALSE),"Non trouvé")</f>
        <v>Non trouvé</v>
      </c>
      <c r="G9" s="24" t="str">
        <f t="shared" si="0"/>
        <v>NON TROUVE</v>
      </c>
      <c r="H9" t="str">
        <f>+_xlfn.XLOOKUP(A9,Ledger!A:A,Ledger!G:G,"non trouvé")</f>
        <v>non trouvé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DE86-7299-4ED3-9E0B-F78FCF01EC52}">
  <dimension ref="A3:B7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22.5546875" bestFit="1" customWidth="1"/>
    <col min="3" max="9" width="5" bestFit="1" customWidth="1"/>
  </cols>
  <sheetData>
    <row r="3" spans="1:2" x14ac:dyDescent="0.3">
      <c r="A3" s="9" t="s">
        <v>37</v>
      </c>
      <c r="B3" t="s">
        <v>44</v>
      </c>
    </row>
    <row r="4" spans="1:2" x14ac:dyDescent="0.3">
      <c r="A4" s="10" t="s">
        <v>41</v>
      </c>
      <c r="B4" s="12">
        <v>1</v>
      </c>
    </row>
    <row r="5" spans="1:2" x14ac:dyDescent="0.3">
      <c r="A5" s="10" t="s">
        <v>42</v>
      </c>
      <c r="B5" s="12">
        <v>1</v>
      </c>
    </row>
    <row r="6" spans="1:2" x14ac:dyDescent="0.3">
      <c r="A6" s="10" t="s">
        <v>43</v>
      </c>
      <c r="B6" s="12">
        <v>6</v>
      </c>
    </row>
    <row r="7" spans="1:2" x14ac:dyDescent="0.3">
      <c r="A7" s="10" t="s">
        <v>38</v>
      </c>
      <c r="B7" s="12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2AF27-E29A-4E3B-97D1-0C9C44CA34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Tableau1</vt:lpstr>
      <vt:lpstr>Ledger</vt:lpstr>
      <vt:lpstr>TCD1 </vt:lpstr>
      <vt:lpstr>Tableau3</vt:lpstr>
      <vt:lpstr>Bank</vt:lpstr>
      <vt:lpstr>TCD2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D. DEVILLET</dc:creator>
  <cp:lastModifiedBy>Tristan D. DEVILLET</cp:lastModifiedBy>
  <dcterms:created xsi:type="dcterms:W3CDTF">2026-09-21T12:20:54Z</dcterms:created>
  <dcterms:modified xsi:type="dcterms:W3CDTF">2026-09-21T22:13:38Z</dcterms:modified>
</cp:coreProperties>
</file>